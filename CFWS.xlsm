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/>
  <workbookPr/>
  <mc:AlternateContent xmlns:mc="http://schemas.openxmlformats.org/markup-compatibility/2006">
    <mc:Choice Requires="x15">
      <x15ac:absPath xmlns:x15ac="http://schemas.microsoft.com/office/spreadsheetml/2010/11/ac" url="C:\Users\michael.leyton\MiDjango_\tutorial_P3_4\"/>
    </mc:Choice>
  </mc:AlternateContent>
  <bookViews>
    <workbookView xWindow="0" yWindow="0" windowWidth="23430" windowHeight="10500"/>
  </bookViews>
  <sheets>
    <sheet name="Hoja1" sheetId="1" r:id="rId1"/>
  </sheets>
  <externalReferences>
    <externalReference r:id="rId2"/>
  </externalReferences>
  <definedNames>
    <definedName name="_xlnm.Print_Area" localSheetId="0">Hoja1!$B$1:$I$111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09" i="1" l="1"/>
  <c r="G97" i="1"/>
  <c r="G92" i="1"/>
  <c r="K86" i="1"/>
  <c r="K99" i="1" s="1"/>
  <c r="G84" i="1"/>
  <c r="H78" i="1"/>
  <c r="G78" i="1"/>
  <c r="K59" i="1"/>
  <c r="H59" i="1"/>
  <c r="G59" i="1"/>
  <c r="H32" i="1"/>
  <c r="H34" i="1" s="1"/>
  <c r="G32" i="1"/>
  <c r="G34" i="1" s="1"/>
  <c r="F14" i="1"/>
  <c r="G86" i="1" l="1"/>
  <c r="G99" i="1" s="1"/>
  <c r="G100" i="1" s="1"/>
  <c r="H86" i="1"/>
  <c r="H99" i="1"/>
</calcChain>
</file>

<file path=xl/sharedStrings.xml><?xml version="1.0" encoding="utf-8"?>
<sst xmlns="http://schemas.openxmlformats.org/spreadsheetml/2006/main" count="41" uniqueCount="41">
  <si>
    <t xml:space="preserve">Proyecto </t>
  </si>
  <si>
    <t>NuevaUnion</t>
  </si>
  <si>
    <t>Contract Forecast Worksheet</t>
  </si>
  <si>
    <t>Contractor</t>
  </si>
  <si>
    <t>Description</t>
  </si>
  <si>
    <t>Cost</t>
  </si>
  <si>
    <t>Hours</t>
  </si>
  <si>
    <t>Schedule</t>
  </si>
  <si>
    <t>Current Forecast</t>
  </si>
  <si>
    <t>A</t>
  </si>
  <si>
    <t>Original Contract (1)</t>
  </si>
  <si>
    <t>B</t>
  </si>
  <si>
    <t>Approved Changes</t>
  </si>
  <si>
    <t>Subtotal Approved Changes</t>
  </si>
  <si>
    <t>A+B:</t>
  </si>
  <si>
    <t>Subtotal Committed</t>
  </si>
  <si>
    <t>C</t>
  </si>
  <si>
    <t>Pending Changes</t>
  </si>
  <si>
    <t>Subtotal Pending Changes</t>
  </si>
  <si>
    <t>D</t>
  </si>
  <si>
    <t>Potential Changes</t>
  </si>
  <si>
    <t>Subtotal Potential Changes</t>
  </si>
  <si>
    <t>E</t>
  </si>
  <si>
    <t>Remaining Growth Allowance</t>
  </si>
  <si>
    <t>Subtotal Remaining Growth Allowance</t>
  </si>
  <si>
    <t>C+D+E: Total Growth Allowance</t>
  </si>
  <si>
    <t>F</t>
  </si>
  <si>
    <t>Potential Claims</t>
  </si>
  <si>
    <t>Subtotal Potential Claims</t>
  </si>
  <si>
    <t>G</t>
  </si>
  <si>
    <t>Estimated Valid Portion of Claims</t>
  </si>
  <si>
    <t>Subtotal Estimated Valid Portion of Claims</t>
  </si>
  <si>
    <t>TOTAL FORECAST (A+B+C+D+E+G)</t>
  </si>
  <si>
    <t xml:space="preserve">Total deviation today  </t>
  </si>
  <si>
    <t>+TBD</t>
  </si>
  <si>
    <t>Paid to-date</t>
  </si>
  <si>
    <t>Previous Forecast:</t>
  </si>
  <si>
    <t>Forecast No.1</t>
  </si>
  <si>
    <t>Approved Trends</t>
  </si>
  <si>
    <t>Previous Forecast</t>
  </si>
  <si>
    <t>Moneda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</si>
</sst>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3" formatCode="_ * #,##0.00_ ;_ * \-#,##0.00_ ;_ * &quot;-&quot;??_ ;_ @_ "/>
    <numFmt numFmtId="164" formatCode="[$-409]mmmm\ d\,\ yyyy;@"/>
    <numFmt numFmtId="165" formatCode="_-* #,##0.00_-;\-* #,##0.00_-;_-* &quot;-&quot;??_-;_-@_-"/>
    <numFmt numFmtId="166" formatCode="_(* #,##0_);_(* \(#,##0\);_(* &quot;-&quot;??_);_(@_)"/>
    <numFmt numFmtId="167" formatCode="_ [$USD]\ * #,##0_ ;_ [$USD]\ * \-#,##0_ ;_ [$USD]\ * &quot;-&quot;_ ;_ @_ "/>
    <numFmt numFmtId="168" formatCode="_-* #,##0.00\ _€_-;\-* #,##0.00\ _€_-;_-* &quot;-&quot;??\ _€_-;_-@_-"/>
    <numFmt numFmtId="169" formatCode="_-* #,##0\ _€_-;\-* #,##0\ _€_-;_-* &quot;-&quot;??\ _€_-;_-@_-"/>
    <numFmt numFmtId="170" formatCode="_([$CLP]\ * #,##0_);_([$CLP]\ * \(#,##0\);_([$CLP]\ * &quot;-&quot;??_);_(@_)"/>
    <numFmt numFmtId="171" formatCode="_-* #,##0_-;\-* #,##0_-;_-* &quot;-&quot;_-;_-@_-"/>
    <numFmt numFmtId="172" formatCode="0.0%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sz val="16"/>
      <name val="Arial"/>
      <family val="2"/>
    </font>
    <font>
      <sz val="10"/>
      <color indexed="8"/>
      <name val="Arial"/>
      <family val="2"/>
    </font>
    <font>
      <b/>
      <sz val="14"/>
      <name val="Arial"/>
      <family val="2"/>
    </font>
    <font>
      <b/>
      <sz val="13"/>
      <name val="Arial"/>
      <family val="2"/>
    </font>
    <font>
      <sz val="14"/>
      <name val="Arial Black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sz val="8"/>
      <name val="Wingdings"/>
      <charset val="2"/>
    </font>
    <font>
      <b/>
      <sz val="10"/>
      <color rgb="FFFF0000"/>
      <name val="Arial"/>
      <family val="2"/>
    </font>
    <font>
      <b/>
      <sz val="10"/>
      <color rgb="FF00B050"/>
      <name val="Arial"/>
      <family val="2"/>
    </font>
    <font>
      <sz val="11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hair">
        <color indexed="64"/>
      </top>
      <bottom/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/>
    <xf numFmtId="165" fontId="5" fillId="0" borderId="0" applyFont="0" applyFill="0" applyBorder="0" applyAlignment="0" applyProtection="0"/>
  </cellStyleXfs>
  <cellXfs count="160">
    <xf numFmtId="0" fontId="0" fillId="0" borderId="0" xfId="0"/>
    <xf numFmtId="0" fontId="0" fillId="0" borderId="0" xfId="0" applyAlignment="1">
      <alignment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164" fontId="0" fillId="0" borderId="5" xfId="0" applyNumberFormat="1" applyBorder="1" applyAlignment="1">
      <alignment vertical="center"/>
    </xf>
    <xf numFmtId="0" fontId="4" fillId="0" borderId="0" xfId="0" applyFont="1" applyBorder="1" applyAlignment="1">
      <alignment horizontal="left" vertical="center"/>
    </xf>
    <xf numFmtId="0" fontId="4" fillId="0" borderId="0" xfId="0" applyFont="1" applyBorder="1" applyAlignment="1">
      <alignment horizontal="center" vertical="center"/>
    </xf>
    <xf numFmtId="0" fontId="6" fillId="0" borderId="0" xfId="3" applyFont="1" applyBorder="1" applyAlignment="1">
      <alignment horizontal="left" vertical="center"/>
    </xf>
    <xf numFmtId="3" fontId="4" fillId="0" borderId="0" xfId="0" applyNumberFormat="1" applyFont="1" applyBorder="1" applyAlignment="1">
      <alignment horizontal="center" vertical="center"/>
    </xf>
    <xf numFmtId="0" fontId="7" fillId="0" borderId="0" xfId="0" quotePrefix="1" applyFont="1" applyFill="1" applyBorder="1" applyAlignment="1">
      <alignment horizontal="center" vertical="center"/>
    </xf>
    <xf numFmtId="0" fontId="0" fillId="0" borderId="5" xfId="0" applyBorder="1" applyAlignment="1">
      <alignment vertical="center"/>
    </xf>
    <xf numFmtId="0" fontId="8" fillId="0" borderId="0" xfId="0" quotePrefix="1" applyFont="1" applyBorder="1" applyAlignment="1">
      <alignment horizontal="left" vertical="center"/>
    </xf>
    <xf numFmtId="3" fontId="0" fillId="0" borderId="0" xfId="0" applyNumberFormat="1" applyBorder="1" applyAlignment="1">
      <alignment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5" fillId="0" borderId="0" xfId="4" applyNumberFormat="1" applyBorder="1" applyAlignment="1">
      <alignment vertical="center"/>
    </xf>
    <xf numFmtId="166" fontId="5" fillId="0" borderId="0" xfId="4" applyNumberFormat="1" applyBorder="1" applyAlignment="1">
      <alignment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10" fillId="0" borderId="4" xfId="0" applyFont="1" applyBorder="1" applyAlignment="1">
      <alignment horizontal="left" vertical="center"/>
    </xf>
    <xf numFmtId="0" fontId="11" fillId="0" borderId="0" xfId="0" applyFont="1" applyBorder="1" applyAlignment="1">
      <alignment vertical="center"/>
    </xf>
    <xf numFmtId="0" fontId="3" fillId="0" borderId="0" xfId="0" applyFont="1" applyBorder="1" applyAlignment="1">
      <alignment vertical="center"/>
    </xf>
    <xf numFmtId="167" fontId="3" fillId="0" borderId="0" xfId="0" applyNumberFormat="1" applyFont="1" applyBorder="1" applyAlignment="1">
      <alignment vertical="center"/>
    </xf>
    <xf numFmtId="169" fontId="3" fillId="0" borderId="0" xfId="1" applyNumberFormat="1" applyFont="1" applyBorder="1" applyAlignment="1">
      <alignment vertical="center"/>
    </xf>
    <xf numFmtId="43" fontId="0" fillId="0" borderId="0" xfId="1" applyFont="1" applyAlignment="1">
      <alignment vertical="center"/>
    </xf>
    <xf numFmtId="168" fontId="12" fillId="0" borderId="0" xfId="1" applyNumberFormat="1" applyFont="1" applyAlignment="1">
      <alignment vertical="center"/>
    </xf>
    <xf numFmtId="15" fontId="0" fillId="0" borderId="0" xfId="0" applyNumberFormat="1" applyBorder="1" applyAlignment="1">
      <alignment horizontal="center" vertical="center"/>
    </xf>
    <xf numFmtId="0" fontId="5" fillId="0" borderId="0" xfId="0" applyFont="1" applyBorder="1" applyAlignment="1">
      <alignment vertical="center"/>
    </xf>
    <xf numFmtId="166" fontId="3" fillId="0" borderId="5" xfId="0" applyNumberFormat="1" applyFont="1" applyBorder="1" applyAlignment="1">
      <alignment vertical="center"/>
    </xf>
    <xf numFmtId="0" fontId="12" fillId="0" borderId="0" xfId="0" applyFont="1" applyAlignment="1">
      <alignment vertical="center"/>
    </xf>
    <xf numFmtId="170" fontId="5" fillId="0" borderId="0" xfId="4" applyNumberFormat="1" applyFont="1" applyBorder="1" applyAlignment="1">
      <alignment vertical="center"/>
    </xf>
    <xf numFmtId="169" fontId="5" fillId="0" borderId="0" xfId="1" applyNumberFormat="1" applyFont="1" applyBorder="1" applyAlignment="1">
      <alignment vertical="center"/>
    </xf>
    <xf numFmtId="0" fontId="13" fillId="0" borderId="13" xfId="0" applyFont="1" applyBorder="1" applyAlignment="1">
      <alignment horizontal="center" vertical="center"/>
    </xf>
    <xf numFmtId="0" fontId="5" fillId="0" borderId="13" xfId="3" applyFont="1" applyBorder="1" applyAlignment="1">
      <alignment horizontal="left" vertical="center" wrapText="1"/>
    </xf>
    <xf numFmtId="167" fontId="0" fillId="0" borderId="13" xfId="0" applyNumberFormat="1" applyFont="1" applyBorder="1" applyAlignment="1">
      <alignment vertical="center"/>
    </xf>
    <xf numFmtId="166" fontId="7" fillId="0" borderId="13" xfId="1" applyNumberFormat="1" applyFont="1" applyFill="1" applyBorder="1" applyAlignment="1">
      <alignment vertical="center"/>
    </xf>
    <xf numFmtId="166" fontId="0" fillId="0" borderId="14" xfId="0" applyNumberFormat="1" applyBorder="1" applyAlignment="1">
      <alignment vertical="center"/>
    </xf>
    <xf numFmtId="0" fontId="5" fillId="0" borderId="13" xfId="0" applyFont="1" applyBorder="1" applyAlignment="1">
      <alignment vertical="center"/>
    </xf>
    <xf numFmtId="0" fontId="5" fillId="0" borderId="13" xfId="0" applyFont="1" applyBorder="1" applyAlignment="1">
      <alignment horizontal="left" vertical="center" wrapText="1"/>
    </xf>
    <xf numFmtId="43" fontId="12" fillId="0" borderId="0" xfId="1" applyFont="1" applyAlignment="1">
      <alignment vertical="center"/>
    </xf>
    <xf numFmtId="166" fontId="7" fillId="0" borderId="15" xfId="1" applyNumberFormat="1" applyFont="1" applyFill="1" applyBorder="1" applyAlignment="1">
      <alignment vertical="center"/>
    </xf>
    <xf numFmtId="166" fontId="5" fillId="0" borderId="14" xfId="0" applyNumberFormat="1" applyFont="1" applyBorder="1" applyAlignment="1">
      <alignment vertical="center"/>
    </xf>
    <xf numFmtId="0" fontId="0" fillId="0" borderId="16" xfId="0" applyBorder="1" applyAlignment="1">
      <alignment vertical="center"/>
    </xf>
    <xf numFmtId="167" fontId="3" fillId="0" borderId="17" xfId="4" applyNumberFormat="1" applyFont="1" applyBorder="1" applyAlignment="1">
      <alignment vertical="center"/>
    </xf>
    <xf numFmtId="169" fontId="3" fillId="0" borderId="12" xfId="1" applyNumberFormat="1" applyFont="1" applyBorder="1" applyAlignment="1">
      <alignment vertical="center"/>
    </xf>
    <xf numFmtId="166" fontId="0" fillId="0" borderId="18" xfId="0" applyNumberFormat="1" applyBorder="1" applyAlignment="1">
      <alignment vertical="center"/>
    </xf>
    <xf numFmtId="0" fontId="3" fillId="0" borderId="19" xfId="0" applyFont="1" applyBorder="1" applyAlignment="1">
      <alignment horizontal="left" vertical="center"/>
    </xf>
    <xf numFmtId="0" fontId="3" fillId="0" borderId="20" xfId="0" applyFont="1" applyBorder="1" applyAlignment="1">
      <alignment vertical="center"/>
    </xf>
    <xf numFmtId="167" fontId="3" fillId="0" borderId="21" xfId="4" applyNumberFormat="1" applyFont="1" applyBorder="1" applyAlignment="1">
      <alignment vertical="center"/>
    </xf>
    <xf numFmtId="169" fontId="3" fillId="0" borderId="20" xfId="1" applyNumberFormat="1" applyFont="1" applyBorder="1" applyAlignment="1">
      <alignment vertical="center"/>
    </xf>
    <xf numFmtId="166" fontId="3" fillId="0" borderId="22" xfId="4" applyNumberFormat="1" applyFont="1" applyBorder="1" applyAlignment="1">
      <alignment vertical="center"/>
    </xf>
    <xf numFmtId="0" fontId="0" fillId="0" borderId="0" xfId="0" applyBorder="1" applyAlignment="1">
      <alignment vertical="center" wrapText="1"/>
    </xf>
    <xf numFmtId="3" fontId="5" fillId="0" borderId="0" xfId="4" applyNumberFormat="1" applyFont="1" applyBorder="1" applyAlignment="1">
      <alignment vertical="center"/>
    </xf>
    <xf numFmtId="0" fontId="5" fillId="0" borderId="23" xfId="3" applyFont="1" applyBorder="1" applyAlignment="1">
      <alignment horizontal="left" vertical="center" wrapText="1"/>
    </xf>
    <xf numFmtId="166" fontId="0" fillId="0" borderId="24" xfId="0" applyNumberFormat="1" applyBorder="1" applyAlignment="1">
      <alignment vertical="center"/>
    </xf>
    <xf numFmtId="0" fontId="0" fillId="0" borderId="15" xfId="0" applyFont="1" applyBorder="1" applyAlignment="1">
      <alignment horizontal="center" vertical="center"/>
    </xf>
    <xf numFmtId="0" fontId="13" fillId="0" borderId="15" xfId="0" applyFont="1" applyBorder="1" applyAlignment="1">
      <alignment horizontal="center" vertical="center"/>
    </xf>
    <xf numFmtId="166" fontId="3" fillId="0" borderId="12" xfId="4" applyNumberFormat="1" applyFont="1" applyBorder="1" applyAlignment="1">
      <alignment vertical="center"/>
    </xf>
    <xf numFmtId="166" fontId="3" fillId="0" borderId="18" xfId="0" applyNumberFormat="1" applyFont="1" applyBorder="1" applyAlignment="1">
      <alignment vertical="center"/>
    </xf>
    <xf numFmtId="168" fontId="0" fillId="0" borderId="0" xfId="0" applyNumberFormat="1" applyAlignment="1">
      <alignment vertical="center"/>
    </xf>
    <xf numFmtId="169" fontId="0" fillId="0" borderId="0" xfId="0" applyNumberFormat="1" applyAlignment="1">
      <alignment vertical="center"/>
    </xf>
    <xf numFmtId="3" fontId="13" fillId="0" borderId="0" xfId="4" applyNumberFormat="1" applyFont="1" applyBorder="1" applyAlignment="1">
      <alignment horizontal="right" vertical="center"/>
    </xf>
    <xf numFmtId="166" fontId="7" fillId="0" borderId="25" xfId="1" applyNumberFormat="1" applyFont="1" applyFill="1" applyBorder="1" applyAlignment="1">
      <alignment vertical="center"/>
    </xf>
    <xf numFmtId="171" fontId="12" fillId="0" borderId="13" xfId="4" applyNumberFormat="1" applyFont="1" applyBorder="1" applyAlignment="1">
      <alignment horizontal="right" vertical="center"/>
    </xf>
    <xf numFmtId="166" fontId="12" fillId="0" borderId="25" xfId="1" applyNumberFormat="1" applyFont="1" applyFill="1" applyBorder="1" applyAlignment="1">
      <alignment horizontal="right" vertical="center"/>
    </xf>
    <xf numFmtId="166" fontId="5" fillId="0" borderId="14" xfId="0" quotePrefix="1" applyNumberFormat="1" applyFont="1" applyBorder="1" applyAlignment="1">
      <alignment vertical="center"/>
    </xf>
    <xf numFmtId="166" fontId="0" fillId="0" borderId="5" xfId="0" applyNumberFormat="1" applyBorder="1" applyAlignment="1">
      <alignment vertical="center"/>
    </xf>
    <xf numFmtId="0" fontId="3" fillId="0" borderId="0" xfId="0" applyFont="1" applyBorder="1" applyAlignment="1">
      <alignment horizontal="center" vertical="center"/>
    </xf>
    <xf numFmtId="0" fontId="3" fillId="0" borderId="13" xfId="0" applyFont="1" applyBorder="1" applyAlignment="1">
      <alignment vertical="center"/>
    </xf>
    <xf numFmtId="0" fontId="5" fillId="0" borderId="13" xfId="0" applyFont="1" applyBorder="1" applyAlignment="1">
      <alignment horizontal="left" vertical="center"/>
    </xf>
    <xf numFmtId="3" fontId="5" fillId="0" borderId="13" xfId="4" applyNumberFormat="1" applyFont="1" applyBorder="1" applyAlignment="1">
      <alignment vertical="center"/>
    </xf>
    <xf numFmtId="169" fontId="5" fillId="0" borderId="0" xfId="4" applyNumberFormat="1" applyAlignment="1">
      <alignment vertical="center"/>
    </xf>
    <xf numFmtId="166" fontId="3" fillId="0" borderId="0" xfId="4" applyNumberFormat="1" applyFont="1" applyBorder="1" applyAlignment="1">
      <alignment vertical="center"/>
    </xf>
    <xf numFmtId="0" fontId="3" fillId="0" borderId="20" xfId="0" applyFont="1" applyBorder="1" applyAlignment="1">
      <alignment horizontal="right" vertical="center"/>
    </xf>
    <xf numFmtId="167" fontId="3" fillId="0" borderId="26" xfId="4" applyNumberFormat="1" applyFont="1" applyBorder="1" applyAlignment="1">
      <alignment vertical="center"/>
    </xf>
    <xf numFmtId="166" fontId="3" fillId="0" borderId="26" xfId="4" applyNumberFormat="1" applyFont="1" applyBorder="1" applyAlignment="1">
      <alignment vertical="center"/>
    </xf>
    <xf numFmtId="172" fontId="1" fillId="0" borderId="0" xfId="2" applyNumberFormat="1" applyAlignment="1">
      <alignment vertical="center"/>
    </xf>
    <xf numFmtId="0" fontId="5" fillId="0" borderId="0" xfId="0" applyFont="1" applyBorder="1" applyAlignment="1">
      <alignment horizontal="left" vertical="center"/>
    </xf>
    <xf numFmtId="166" fontId="5" fillId="0" borderId="0" xfId="4" applyNumberFormat="1" applyFont="1" applyBorder="1" applyAlignment="1">
      <alignment vertical="center"/>
    </xf>
    <xf numFmtId="172" fontId="0" fillId="0" borderId="0" xfId="0" applyNumberFormat="1" applyAlignment="1">
      <alignment vertical="center"/>
    </xf>
    <xf numFmtId="0" fontId="3" fillId="0" borderId="19" xfId="0" applyFont="1" applyBorder="1" applyAlignment="1">
      <alignment horizontal="center" vertical="center"/>
    </xf>
    <xf numFmtId="0" fontId="0" fillId="0" borderId="20" xfId="0" applyBorder="1" applyAlignment="1">
      <alignment vertical="center"/>
    </xf>
    <xf numFmtId="0" fontId="3" fillId="0" borderId="20" xfId="0" quotePrefix="1" applyFont="1" applyBorder="1" applyAlignment="1">
      <alignment horizontal="left" vertical="center"/>
    </xf>
    <xf numFmtId="166" fontId="0" fillId="0" borderId="0" xfId="0" applyNumberFormat="1" applyAlignment="1">
      <alignment vertical="center"/>
    </xf>
    <xf numFmtId="0" fontId="14" fillId="0" borderId="0" xfId="0" applyFont="1" applyBorder="1" applyAlignment="1">
      <alignment horizontal="right" vertical="center"/>
    </xf>
    <xf numFmtId="0" fontId="0" fillId="0" borderId="0" xfId="0" applyFont="1" applyAlignment="1">
      <alignment vertical="center"/>
    </xf>
    <xf numFmtId="167" fontId="14" fillId="0" borderId="2" xfId="4" applyNumberFormat="1" applyFont="1" applyBorder="1" applyAlignment="1">
      <alignment vertical="center"/>
    </xf>
    <xf numFmtId="3" fontId="14" fillId="0" borderId="2" xfId="4" applyNumberFormat="1" applyFont="1" applyBorder="1" applyAlignment="1">
      <alignment vertical="center"/>
    </xf>
    <xf numFmtId="166" fontId="3" fillId="0" borderId="5" xfId="4" applyNumberFormat="1" applyFont="1" applyBorder="1" applyAlignment="1">
      <alignment vertical="center"/>
    </xf>
    <xf numFmtId="166" fontId="0" fillId="0" borderId="0" xfId="0" applyNumberFormat="1" applyFont="1" applyAlignment="1">
      <alignment vertical="center"/>
    </xf>
    <xf numFmtId="0" fontId="15" fillId="0" borderId="0" xfId="0" applyFont="1" applyBorder="1" applyAlignment="1">
      <alignment horizontal="right" vertical="center"/>
    </xf>
    <xf numFmtId="167" fontId="15" fillId="0" borderId="0" xfId="4" applyNumberFormat="1" applyFont="1" applyBorder="1" applyAlignment="1">
      <alignment vertical="center"/>
    </xf>
    <xf numFmtId="3" fontId="3" fillId="0" borderId="0" xfId="4" applyNumberFormat="1" applyFont="1" applyBorder="1" applyAlignment="1">
      <alignment vertical="center"/>
    </xf>
    <xf numFmtId="0" fontId="11" fillId="0" borderId="0" xfId="0" quotePrefix="1" applyFont="1" applyBorder="1" applyAlignment="1">
      <alignment horizontal="left" vertical="center"/>
    </xf>
    <xf numFmtId="0" fontId="0" fillId="0" borderId="13" xfId="0" applyFont="1" applyBorder="1" applyAlignment="1">
      <alignment horizontal="left" vertical="center"/>
    </xf>
    <xf numFmtId="0" fontId="0" fillId="0" borderId="15" xfId="0" applyFont="1" applyBorder="1" applyAlignment="1">
      <alignment horizontal="left" vertical="center"/>
    </xf>
    <xf numFmtId="0" fontId="0" fillId="0" borderId="13" xfId="0" applyBorder="1" applyAlignment="1">
      <alignment vertical="center"/>
    </xf>
    <xf numFmtId="3" fontId="5" fillId="0" borderId="13" xfId="4" applyNumberFormat="1" applyBorder="1" applyAlignment="1">
      <alignment vertical="center"/>
    </xf>
    <xf numFmtId="0" fontId="0" fillId="0" borderId="14" xfId="0" applyBorder="1" applyAlignment="1">
      <alignment vertical="center"/>
    </xf>
    <xf numFmtId="3" fontId="16" fillId="0" borderId="0" xfId="0" applyNumberFormat="1" applyFont="1" applyAlignment="1">
      <alignment vertical="center"/>
    </xf>
    <xf numFmtId="0" fontId="3" fillId="0" borderId="27" xfId="0" applyFont="1" applyBorder="1" applyAlignment="1">
      <alignment horizontal="center" vertical="center"/>
    </xf>
    <xf numFmtId="0" fontId="0" fillId="0" borderId="28" xfId="0" applyBorder="1" applyAlignment="1">
      <alignment vertical="center"/>
    </xf>
    <xf numFmtId="0" fontId="3" fillId="0" borderId="28" xfId="0" applyFont="1" applyBorder="1" applyAlignment="1">
      <alignment vertical="center"/>
    </xf>
    <xf numFmtId="166" fontId="3" fillId="0" borderId="28" xfId="4" applyNumberFormat="1" applyFont="1" applyBorder="1" applyAlignment="1">
      <alignment vertical="center"/>
    </xf>
    <xf numFmtId="166" fontId="3" fillId="0" borderId="29" xfId="4" applyNumberFormat="1" applyFont="1" applyBorder="1" applyAlignment="1">
      <alignment vertical="center"/>
    </xf>
    <xf numFmtId="3" fontId="5" fillId="0" borderId="28" xfId="4" applyNumberFormat="1" applyFont="1" applyBorder="1" applyAlignment="1">
      <alignment vertical="center"/>
    </xf>
    <xf numFmtId="0" fontId="0" fillId="0" borderId="29" xfId="0" applyBorder="1" applyAlignment="1">
      <alignment vertical="center"/>
    </xf>
    <xf numFmtId="0" fontId="3" fillId="0" borderId="0" xfId="0" applyFont="1" applyAlignment="1">
      <alignment horizontal="center" vertical="center"/>
    </xf>
    <xf numFmtId="3" fontId="5" fillId="0" borderId="0" xfId="4" applyNumberFormat="1" applyFont="1" applyAlignment="1">
      <alignment vertical="center"/>
    </xf>
    <xf numFmtId="38" fontId="0" fillId="0" borderId="0" xfId="0" applyNumberFormat="1" applyAlignment="1">
      <alignment vertical="center"/>
    </xf>
    <xf numFmtId="0" fontId="3" fillId="0" borderId="0" xfId="0" applyFont="1" applyAlignment="1">
      <alignment vertical="center"/>
    </xf>
    <xf numFmtId="3" fontId="0" fillId="0" borderId="0" xfId="0" applyNumberFormat="1" applyAlignment="1">
      <alignment vertical="center"/>
    </xf>
    <xf numFmtId="0" fontId="8" fillId="0" borderId="10" xfId="0" applyFont="1" applyBorder="1" applyAlignment="1">
      <alignment horizontal="centerContinuous" vertical="center"/>
    </xf>
    <xf numFmtId="0" fontId="8" fillId="0" borderId="11" xfId="0" applyFont="1" applyBorder="1" applyAlignment="1">
      <alignment horizontal="centerContinuous" vertical="center"/>
    </xf>
    <xf numFmtId="0" fontId="8" fillId="0" borderId="12" xfId="0" applyFont="1" applyBorder="1" applyAlignment="1">
      <alignment horizontal="centerContinuous" vertical="center"/>
    </xf>
    <xf numFmtId="0" fontId="5" fillId="0" borderId="30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0" fontId="0" fillId="0" borderId="11" xfId="0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7" fontId="4" fillId="0" borderId="4" xfId="0" quotePrefix="1" applyNumberFormat="1" applyFont="1" applyBorder="1" applyAlignment="1">
      <alignment horizontal="center" vertical="center"/>
    </xf>
    <xf numFmtId="17" fontId="4" fillId="0" borderId="0" xfId="0" quotePrefix="1" applyNumberFormat="1" applyFont="1" applyBorder="1" applyAlignment="1">
      <alignment horizontal="center" vertical="center"/>
    </xf>
    <xf numFmtId="17" fontId="4" fillId="0" borderId="5" xfId="0" quotePrefix="1" applyNumberFormat="1" applyFont="1" applyBorder="1" applyAlignment="1">
      <alignment horizontal="center" vertical="center"/>
    </xf>
    <xf numFmtId="0" fontId="9" fillId="0" borderId="0" xfId="3" applyFont="1" applyBorder="1" applyAlignment="1">
      <alignment horizontal="left" vertical="center" wrapText="1"/>
    </xf>
    <xf numFmtId="0" fontId="9" fillId="0" borderId="5" xfId="3" applyFont="1" applyBorder="1" applyAlignment="1">
      <alignment horizontal="left" vertical="center" wrapText="1"/>
    </xf>
    <xf numFmtId="0" fontId="17" fillId="0" borderId="13" xfId="0" applyFont="1" applyBorder="1" applyAlignment="1">
      <alignment vertical="center"/>
    </xf>
    <xf numFmtId="0" fontId="17" fillId="0" borderId="13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166" fontId="17" fillId="0" borderId="14" xfId="0" applyNumberFormat="1" applyFont="1" applyBorder="1" applyAlignment="1">
      <alignment vertical="center"/>
    </xf>
    <xf numFmtId="0" fontId="5" fillId="0" borderId="30" xfId="0" applyFont="1" applyBorder="1" applyAlignment="1">
      <alignment horizontal="center" vertical="center"/>
    </xf>
    <xf numFmtId="167" fontId="17" fillId="0" borderId="13" xfId="0" applyNumberFormat="1" applyFont="1" applyBorder="1" applyAlignment="1">
      <alignment vertical="center"/>
    </xf>
    <xf numFmtId="166" fontId="17" fillId="0" borderId="24" xfId="0" applyNumberFormat="1" applyFont="1" applyBorder="1" applyAlignment="1">
      <alignment vertical="center"/>
    </xf>
    <xf numFmtId="0" fontId="17" fillId="0" borderId="15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17" fillId="0" borderId="0" xfId="0" applyFont="1" applyBorder="1" applyAlignment="1">
      <alignment vertical="center"/>
    </xf>
    <xf numFmtId="0" fontId="5" fillId="0" borderId="0" xfId="0" applyFont="1" applyBorder="1" applyAlignment="1">
      <alignment horizontal="center" vertical="center"/>
    </xf>
    <xf numFmtId="0" fontId="17" fillId="0" borderId="5" xfId="0" applyFont="1" applyBorder="1" applyAlignment="1">
      <alignment vertical="center"/>
    </xf>
    <xf numFmtId="166" fontId="5" fillId="0" borderId="14" xfId="3" applyNumberFormat="1" applyFont="1" applyBorder="1" applyAlignment="1">
      <alignment vertical="center"/>
    </xf>
    <xf numFmtId="166" fontId="12" fillId="0" borderId="14" xfId="3" applyNumberFormat="1" applyFont="1" applyBorder="1" applyAlignment="1">
      <alignment vertical="center"/>
    </xf>
    <xf numFmtId="0" fontId="17" fillId="0" borderId="0" xfId="0" quotePrefix="1" applyFont="1" applyBorder="1" applyAlignment="1">
      <alignment horizontal="left" vertical="center"/>
    </xf>
    <xf numFmtId="166" fontId="17" fillId="0" borderId="5" xfId="0" applyNumberFormat="1" applyFont="1" applyBorder="1" applyAlignment="1">
      <alignment vertical="center"/>
    </xf>
    <xf numFmtId="0" fontId="17" fillId="0" borderId="0" xfId="0" applyFont="1" applyBorder="1" applyAlignment="1">
      <alignment vertical="center" wrapText="1"/>
    </xf>
    <xf numFmtId="0" fontId="17" fillId="0" borderId="0" xfId="0" applyFont="1" applyAlignment="1">
      <alignment vertical="center"/>
    </xf>
    <xf numFmtId="3" fontId="17" fillId="0" borderId="0" xfId="0" applyNumberFormat="1" applyFont="1" applyBorder="1" applyAlignment="1">
      <alignment vertical="center"/>
    </xf>
    <xf numFmtId="0" fontId="0" fillId="0" borderId="4" xfId="0" applyFont="1" applyBorder="1" applyAlignment="1">
      <alignment horizontal="centerContinuous" vertical="center"/>
    </xf>
    <xf numFmtId="0" fontId="0" fillId="0" borderId="0" xfId="0" applyBorder="1" applyAlignment="1">
      <alignment horizontal="centerContinuous" vertical="center"/>
    </xf>
    <xf numFmtId="0" fontId="0" fillId="0" borderId="5" xfId="0" applyBorder="1" applyAlignment="1">
      <alignment horizontal="centerContinuous" vertical="center"/>
    </xf>
    <xf numFmtId="0" fontId="0" fillId="0" borderId="1" xfId="0" applyFont="1" applyBorder="1" applyAlignment="1">
      <alignment horizontal="centerContinuous" vertical="center"/>
    </xf>
    <xf numFmtId="0" fontId="0" fillId="0" borderId="2" xfId="0" applyBorder="1" applyAlignment="1">
      <alignment horizontal="centerContinuous" vertical="center"/>
    </xf>
    <xf numFmtId="0" fontId="0" fillId="0" borderId="3" xfId="0" applyBorder="1" applyAlignment="1">
      <alignment horizontal="centerContinuous" vertical="center"/>
    </xf>
    <xf numFmtId="0" fontId="2" fillId="0" borderId="4" xfId="0" applyFont="1" applyBorder="1" applyAlignment="1">
      <alignment horizontal="centerContinuous" vertical="center"/>
    </xf>
    <xf numFmtId="0" fontId="2" fillId="0" borderId="0" xfId="0" applyFont="1" applyBorder="1" applyAlignment="1">
      <alignment horizontal="centerContinuous" vertical="center"/>
    </xf>
    <xf numFmtId="0" fontId="2" fillId="0" borderId="5" xfId="0" applyFont="1" applyBorder="1" applyAlignment="1">
      <alignment horizontal="centerContinuous" vertical="center"/>
    </xf>
    <xf numFmtId="0" fontId="5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</cellXfs>
  <cellStyles count="5">
    <cellStyle name="Comma_Contract Scope Sheet SEMANA 01-5-09 al 08-5-09" xfId="4"/>
    <cellStyle name="Millares" xfId="1" builtinId="3"/>
    <cellStyle name="Normal" xfId="0" builtinId="0"/>
    <cellStyle name="Normal 2" xfId="3"/>
    <cellStyle name="Porcentaje" xfId="2" builtinId="5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arlos.figueroa/Desktop/SC-282%20CFW_21jun17.xlsx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 (All Scopes)"/>
      <sheetName val="Summary"/>
      <sheetName val="GCGA002 - FPFS (Off)"/>
      <sheetName val="GCGA002 - K011"/>
      <sheetName val="GCGA002 - K012"/>
      <sheetName val="GCGA002 - K008"/>
      <sheetName val="GCGA002 - K009"/>
      <sheetName val="GCGA002 - K014"/>
      <sheetName val="GCGA002 - FPFS (On)"/>
      <sheetName val="GCGA002 - K001"/>
      <sheetName val="GCGA002 - K002"/>
      <sheetName val="GCGA002 - K003"/>
      <sheetName val="GCGA002 - K004"/>
      <sheetName val="GCGA002 - K005"/>
      <sheetName val="GCGA002 - K010"/>
      <sheetName val="Invoice Log"/>
    </sheetNames>
    <sheetDataSet>
      <sheetData sheetId="0"/>
      <sheetData sheetId="1"/>
      <sheetData sheetId="2">
        <row r="14">
          <cell r="F14" t="str">
            <v>Original Contract Value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B1:L114"/>
  <sheetViews>
    <sheetView tabSelected="1" zoomScale="70" zoomScaleNormal="70" workbookViewId="0">
      <selection activeCell="F6" sqref="F6"/>
    </sheetView>
  </sheetViews>
  <sheetFormatPr baseColWidth="10" defaultColWidth="9.140625" defaultRowHeight="15" outlineLevelRow="1" x14ac:dyDescent="0.25"/>
  <cols>
    <col min="1" max="1" width="1.5703125" style="1" customWidth="1"/>
    <col min="2" max="2" width="2.28515625" style="107" customWidth="1"/>
    <col min="3" max="3" width="12.28515625" style="1" customWidth="1"/>
    <col min="4" max="4" width="22.7109375" style="1" customWidth="1"/>
    <col min="5" max="5" width="3.28515625" style="1" customWidth="1"/>
    <col min="6" max="6" width="54" style="1" customWidth="1"/>
    <col min="7" max="7" width="21.5703125" style="111" customWidth="1"/>
    <col min="8" max="8" width="21.42578125" style="1" customWidth="1"/>
    <col min="9" max="9" width="26" style="1" customWidth="1"/>
    <col min="10" max="10" width="3" style="1" customWidth="1"/>
    <col min="11" max="11" width="20.5703125" style="1" customWidth="1"/>
    <col min="12" max="12" width="14.5703125" style="99" bestFit="1" customWidth="1"/>
    <col min="13" max="16384" width="9.140625" style="1"/>
  </cols>
  <sheetData>
    <row r="1" spans="2:12" x14ac:dyDescent="0.25">
      <c r="B1" s="152" t="s">
        <v>0</v>
      </c>
      <c r="C1" s="153"/>
      <c r="D1" s="153"/>
      <c r="E1" s="153"/>
      <c r="F1" s="153"/>
      <c r="G1" s="153"/>
      <c r="H1" s="153"/>
      <c r="I1" s="154"/>
      <c r="L1" s="1"/>
    </row>
    <row r="2" spans="2:12" x14ac:dyDescent="0.25">
      <c r="B2" s="149" t="s">
        <v>1</v>
      </c>
      <c r="C2" s="150"/>
      <c r="D2" s="150"/>
      <c r="E2" s="150"/>
      <c r="F2" s="150"/>
      <c r="G2" s="150"/>
      <c r="H2" s="150"/>
      <c r="I2" s="151"/>
      <c r="L2" s="1"/>
    </row>
    <row r="3" spans="2:12" ht="23.25" x14ac:dyDescent="0.25">
      <c r="B3" s="155" t="s">
        <v>2</v>
      </c>
      <c r="C3" s="156"/>
      <c r="D3" s="156"/>
      <c r="E3" s="156"/>
      <c r="F3" s="156"/>
      <c r="G3" s="156"/>
      <c r="H3" s="156"/>
      <c r="I3" s="157"/>
      <c r="L3" s="1"/>
    </row>
    <row r="4" spans="2:12" x14ac:dyDescent="0.25">
      <c r="B4" s="2"/>
      <c r="C4" s="3"/>
      <c r="D4" s="124"/>
      <c r="E4" s="124"/>
      <c r="F4" s="124"/>
      <c r="G4" s="124"/>
      <c r="H4" s="124"/>
      <c r="I4" s="4">
        <v>42907</v>
      </c>
      <c r="L4" s="1"/>
    </row>
    <row r="5" spans="2:12" ht="15.75" x14ac:dyDescent="0.25">
      <c r="B5" s="125"/>
      <c r="C5" s="126"/>
      <c r="D5" s="126"/>
      <c r="E5" s="126"/>
      <c r="F5" s="126"/>
      <c r="G5" s="126"/>
      <c r="H5" s="126"/>
      <c r="I5" s="127"/>
      <c r="L5" s="1"/>
    </row>
    <row r="6" spans="2:12" ht="20.25" x14ac:dyDescent="0.25">
      <c r="B6" s="2"/>
      <c r="C6" s="3"/>
      <c r="D6" s="5" t="s">
        <v>3</v>
      </c>
      <c r="E6" s="6"/>
      <c r="F6" s="7"/>
      <c r="G6" s="8"/>
      <c r="H6" s="9"/>
      <c r="I6" s="10"/>
      <c r="L6" s="1"/>
    </row>
    <row r="7" spans="2:12" ht="18" x14ac:dyDescent="0.25">
      <c r="B7" s="2"/>
      <c r="C7" s="3"/>
      <c r="D7" s="11"/>
      <c r="E7" s="3"/>
      <c r="F7" s="11"/>
      <c r="G7" s="12"/>
      <c r="H7" s="3"/>
      <c r="I7" s="10"/>
      <c r="L7" s="1"/>
    </row>
    <row r="8" spans="2:12" ht="16.5" x14ac:dyDescent="0.25">
      <c r="B8" s="2"/>
      <c r="C8" s="3"/>
      <c r="D8" s="5" t="s">
        <v>4</v>
      </c>
      <c r="E8" s="3"/>
      <c r="F8" s="128"/>
      <c r="G8" s="128"/>
      <c r="H8" s="128"/>
      <c r="I8" s="129"/>
      <c r="L8" s="1"/>
    </row>
    <row r="9" spans="2:12" x14ac:dyDescent="0.25">
      <c r="B9" s="2"/>
      <c r="C9" s="3"/>
      <c r="D9" s="3"/>
      <c r="E9" s="3"/>
      <c r="F9" s="3"/>
      <c r="G9" s="122"/>
      <c r="H9" s="122"/>
      <c r="I9" s="123"/>
      <c r="L9" s="1"/>
    </row>
    <row r="10" spans="2:12" ht="16.5" x14ac:dyDescent="0.25">
      <c r="B10" s="2"/>
      <c r="C10" s="3"/>
      <c r="D10" s="5" t="s">
        <v>40</v>
      </c>
      <c r="E10" s="3"/>
      <c r="F10" s="128"/>
      <c r="G10" s="13" t="s">
        <v>5</v>
      </c>
      <c r="H10" s="13" t="s">
        <v>6</v>
      </c>
      <c r="I10" s="14" t="s">
        <v>7</v>
      </c>
      <c r="L10" s="1"/>
    </row>
    <row r="11" spans="2:12" x14ac:dyDescent="0.25">
      <c r="B11" s="2"/>
      <c r="C11" s="3"/>
      <c r="D11" s="3"/>
      <c r="E11" s="3"/>
      <c r="F11" s="3"/>
      <c r="G11" s="15"/>
      <c r="H11" s="16"/>
      <c r="I11" s="10"/>
      <c r="K11" s="17"/>
      <c r="L11" s="158"/>
    </row>
    <row r="12" spans="2:12" ht="18" x14ac:dyDescent="0.25">
      <c r="B12" s="112" t="s">
        <v>8</v>
      </c>
      <c r="C12" s="113"/>
      <c r="D12" s="114"/>
      <c r="E12" s="3"/>
      <c r="F12" s="3"/>
      <c r="G12" s="15"/>
      <c r="H12" s="16"/>
      <c r="I12" s="10"/>
      <c r="K12" s="18"/>
      <c r="L12" s="159"/>
    </row>
    <row r="13" spans="2:12" ht="12.75" customHeight="1" x14ac:dyDescent="0.25">
      <c r="B13" s="19"/>
      <c r="C13" s="3"/>
      <c r="D13" s="3"/>
      <c r="E13" s="3"/>
      <c r="F13" s="3"/>
      <c r="G13" s="15"/>
      <c r="H13" s="16"/>
      <c r="I13" s="10"/>
      <c r="L13" s="1"/>
    </row>
    <row r="14" spans="2:12" ht="12.75" customHeight="1" x14ac:dyDescent="0.25">
      <c r="B14" s="2" t="s">
        <v>9</v>
      </c>
      <c r="C14" s="20" t="s">
        <v>10</v>
      </c>
      <c r="D14" s="3"/>
      <c r="E14" s="3"/>
      <c r="F14" s="21" t="str">
        <f>'[1]GCGA002 - FPFS (Off)'!F14</f>
        <v>Original Contract Value</v>
      </c>
      <c r="G14" s="22"/>
      <c r="H14" s="23"/>
      <c r="I14" s="10"/>
      <c r="J14" s="17"/>
      <c r="K14" s="24"/>
      <c r="L14" s="25"/>
    </row>
    <row r="15" spans="2:12" ht="12.75" customHeight="1" x14ac:dyDescent="0.25">
      <c r="B15" s="2"/>
      <c r="C15" s="21"/>
      <c r="D15" s="26"/>
      <c r="E15" s="3"/>
      <c r="F15" s="27"/>
      <c r="G15" s="22"/>
      <c r="H15" s="23"/>
      <c r="I15" s="28"/>
      <c r="L15" s="29"/>
    </row>
    <row r="16" spans="2:12" ht="12.75" customHeight="1" x14ac:dyDescent="0.25">
      <c r="B16" s="2" t="s">
        <v>11</v>
      </c>
      <c r="C16" s="20" t="s">
        <v>12</v>
      </c>
      <c r="D16" s="3"/>
      <c r="E16" s="3"/>
      <c r="F16" s="3"/>
      <c r="G16" s="22"/>
      <c r="H16" s="31"/>
      <c r="I16" s="10"/>
      <c r="L16" s="29"/>
    </row>
    <row r="17" spans="2:12" ht="12.75" customHeight="1" x14ac:dyDescent="0.25">
      <c r="B17" s="2"/>
      <c r="C17" s="130"/>
      <c r="D17" s="131"/>
      <c r="E17" s="132"/>
      <c r="F17" s="33"/>
      <c r="G17" s="35"/>
      <c r="H17" s="35"/>
      <c r="I17" s="133"/>
      <c r="K17" s="17"/>
      <c r="L17" s="29"/>
    </row>
    <row r="18" spans="2:12" ht="12.75" customHeight="1" x14ac:dyDescent="0.25">
      <c r="B18" s="2"/>
      <c r="C18" s="37"/>
      <c r="D18" s="37"/>
      <c r="E18" s="132"/>
      <c r="F18" s="38"/>
      <c r="G18" s="35"/>
      <c r="H18" s="35"/>
      <c r="I18" s="133"/>
      <c r="J18" s="17"/>
      <c r="K18" s="24"/>
      <c r="L18" s="39"/>
    </row>
    <row r="19" spans="2:12" ht="12.75" customHeight="1" x14ac:dyDescent="0.25">
      <c r="B19" s="2"/>
      <c r="C19" s="37"/>
      <c r="D19" s="37"/>
      <c r="E19" s="132"/>
      <c r="F19" s="38"/>
      <c r="G19" s="35"/>
      <c r="H19" s="35"/>
      <c r="I19" s="133"/>
      <c r="J19" s="17"/>
      <c r="K19" s="24"/>
      <c r="L19" s="39"/>
    </row>
    <row r="20" spans="2:12" ht="12.75" customHeight="1" x14ac:dyDescent="0.25">
      <c r="B20" s="2"/>
      <c r="C20" s="37"/>
      <c r="D20" s="37"/>
      <c r="E20" s="132"/>
      <c r="F20" s="38"/>
      <c r="G20" s="35"/>
      <c r="H20" s="35"/>
      <c r="I20" s="133"/>
      <c r="J20" s="17"/>
      <c r="K20" s="24"/>
      <c r="L20" s="39"/>
    </row>
    <row r="21" spans="2:12" ht="12.75" customHeight="1" x14ac:dyDescent="0.25">
      <c r="B21" s="2"/>
      <c r="C21" s="37"/>
      <c r="D21" s="37"/>
      <c r="E21" s="132"/>
      <c r="F21" s="38"/>
      <c r="G21" s="35"/>
      <c r="H21" s="35"/>
      <c r="I21" s="133"/>
      <c r="J21" s="17"/>
      <c r="K21" s="24"/>
      <c r="L21" s="39"/>
    </row>
    <row r="22" spans="2:12" ht="12.75" customHeight="1" x14ac:dyDescent="0.25">
      <c r="B22" s="2"/>
      <c r="C22" s="37"/>
      <c r="D22" s="37"/>
      <c r="E22" s="132"/>
      <c r="F22" s="38"/>
      <c r="G22" s="40"/>
      <c r="H22" s="40"/>
      <c r="I22" s="133"/>
      <c r="J22" s="17"/>
      <c r="K22" s="24"/>
      <c r="L22" s="39"/>
    </row>
    <row r="23" spans="2:12" ht="12.75" customHeight="1" x14ac:dyDescent="0.25">
      <c r="B23" s="2"/>
      <c r="C23" s="37"/>
      <c r="D23" s="37"/>
      <c r="E23" s="132"/>
      <c r="F23" s="38"/>
      <c r="G23" s="40"/>
      <c r="H23" s="40"/>
      <c r="I23" s="133"/>
      <c r="J23" s="17"/>
      <c r="K23" s="24"/>
      <c r="L23" s="39"/>
    </row>
    <row r="24" spans="2:12" ht="12.75" customHeight="1" outlineLevel="1" x14ac:dyDescent="0.25">
      <c r="B24" s="2"/>
      <c r="C24" s="37"/>
      <c r="D24" s="37"/>
      <c r="E24" s="132"/>
      <c r="F24" s="38"/>
      <c r="G24" s="40"/>
      <c r="H24" s="40"/>
      <c r="I24" s="133"/>
      <c r="J24" s="17"/>
      <c r="K24" s="24"/>
      <c r="L24" s="39"/>
    </row>
    <row r="25" spans="2:12" ht="12.75" customHeight="1" outlineLevel="1" x14ac:dyDescent="0.25">
      <c r="B25" s="2"/>
      <c r="C25" s="37"/>
      <c r="D25" s="37"/>
      <c r="E25" s="132"/>
      <c r="F25" s="38"/>
      <c r="G25" s="40"/>
      <c r="H25" s="40"/>
      <c r="I25" s="133"/>
      <c r="J25" s="17"/>
      <c r="K25" s="24"/>
      <c r="L25" s="39"/>
    </row>
    <row r="26" spans="2:12" ht="12.75" customHeight="1" outlineLevel="1" x14ac:dyDescent="0.25">
      <c r="B26" s="2"/>
      <c r="C26" s="37"/>
      <c r="D26" s="37"/>
      <c r="E26" s="132"/>
      <c r="F26" s="38"/>
      <c r="G26" s="40"/>
      <c r="H26" s="40"/>
      <c r="I26" s="133"/>
      <c r="J26" s="17"/>
      <c r="K26" s="24"/>
      <c r="L26" s="39"/>
    </row>
    <row r="27" spans="2:12" ht="12.75" customHeight="1" outlineLevel="1" x14ac:dyDescent="0.25">
      <c r="B27" s="2"/>
      <c r="C27" s="37"/>
      <c r="D27" s="37"/>
      <c r="E27" s="132"/>
      <c r="F27" s="38"/>
      <c r="G27" s="40"/>
      <c r="H27" s="40"/>
      <c r="I27" s="133"/>
      <c r="J27" s="17"/>
      <c r="K27" s="24"/>
      <c r="L27" s="39"/>
    </row>
    <row r="28" spans="2:12" ht="12.75" customHeight="1" outlineLevel="1" x14ac:dyDescent="0.25">
      <c r="B28" s="2"/>
      <c r="C28" s="37"/>
      <c r="D28" s="37"/>
      <c r="E28" s="132"/>
      <c r="F28" s="38"/>
      <c r="G28" s="40"/>
      <c r="H28" s="40"/>
      <c r="I28" s="41"/>
      <c r="J28" s="17"/>
      <c r="K28" s="24"/>
      <c r="L28" s="39"/>
    </row>
    <row r="29" spans="2:12" ht="12.75" customHeight="1" x14ac:dyDescent="0.25">
      <c r="B29" s="2"/>
      <c r="C29" s="37"/>
      <c r="D29" s="37"/>
      <c r="E29" s="132"/>
      <c r="F29" s="38"/>
      <c r="G29" s="40"/>
      <c r="H29" s="40"/>
      <c r="I29" s="133"/>
      <c r="J29" s="17"/>
      <c r="K29" s="24"/>
      <c r="L29" s="39"/>
    </row>
    <row r="30" spans="2:12" ht="12.75" customHeight="1" x14ac:dyDescent="0.25">
      <c r="B30" s="2"/>
      <c r="C30" s="37"/>
      <c r="D30" s="37"/>
      <c r="E30" s="132"/>
      <c r="F30" s="38"/>
      <c r="G30" s="40"/>
      <c r="H30" s="40"/>
      <c r="I30" s="133"/>
      <c r="J30" s="17"/>
      <c r="K30" s="24"/>
      <c r="L30" s="39"/>
    </row>
    <row r="31" spans="2:12" ht="12.75" customHeight="1" x14ac:dyDescent="0.25">
      <c r="B31" s="2"/>
      <c r="C31" s="115"/>
      <c r="D31" s="115"/>
      <c r="E31" s="134"/>
      <c r="F31" s="38"/>
      <c r="G31" s="40"/>
      <c r="H31" s="40"/>
      <c r="I31" s="133"/>
      <c r="J31" s="17"/>
      <c r="K31" s="24"/>
      <c r="L31" s="39"/>
    </row>
    <row r="32" spans="2:12" ht="12.75" customHeight="1" x14ac:dyDescent="0.25">
      <c r="B32" s="117"/>
      <c r="C32" s="116"/>
      <c r="D32" s="116" t="s">
        <v>13</v>
      </c>
      <c r="E32" s="121"/>
      <c r="F32" s="42"/>
      <c r="G32" s="43">
        <f>SUM(G17:G31)</f>
        <v>0</v>
      </c>
      <c r="H32" s="44">
        <f>SUM(H17:H31)</f>
        <v>0</v>
      </c>
      <c r="I32" s="45"/>
      <c r="K32" s="24"/>
      <c r="L32" s="1"/>
    </row>
    <row r="33" spans="2:12" ht="15.75" thickBot="1" x14ac:dyDescent="0.3">
      <c r="B33" s="2"/>
      <c r="C33" s="21"/>
      <c r="D33" s="21"/>
      <c r="E33" s="21"/>
      <c r="F33" s="3"/>
      <c r="G33" s="30"/>
      <c r="H33" s="31"/>
      <c r="I33" s="10"/>
      <c r="K33" s="24"/>
      <c r="L33" s="1"/>
    </row>
    <row r="34" spans="2:12" ht="18" customHeight="1" thickBot="1" x14ac:dyDescent="0.3">
      <c r="B34" s="46" t="s">
        <v>14</v>
      </c>
      <c r="C34" s="47"/>
      <c r="D34" s="47" t="s">
        <v>15</v>
      </c>
      <c r="E34" s="47"/>
      <c r="F34" s="47"/>
      <c r="G34" s="48">
        <f>+G14+G32</f>
        <v>0</v>
      </c>
      <c r="H34" s="49">
        <f>+H32+H14</f>
        <v>0</v>
      </c>
      <c r="I34" s="50"/>
      <c r="K34" s="24"/>
      <c r="L34" s="1"/>
    </row>
    <row r="35" spans="2:12" x14ac:dyDescent="0.25">
      <c r="B35" s="2"/>
      <c r="C35" s="21"/>
      <c r="D35" s="3"/>
      <c r="E35" s="3"/>
      <c r="F35" s="51"/>
      <c r="G35" s="52"/>
      <c r="H35" s="52"/>
      <c r="I35" s="10"/>
      <c r="L35" s="1"/>
    </row>
    <row r="36" spans="2:12" x14ac:dyDescent="0.25">
      <c r="B36" s="2" t="s">
        <v>16</v>
      </c>
      <c r="C36" s="20" t="s">
        <v>17</v>
      </c>
      <c r="D36" s="3"/>
      <c r="E36" s="3"/>
      <c r="F36" s="3"/>
      <c r="G36" s="52"/>
      <c r="H36" s="52"/>
      <c r="I36" s="10"/>
      <c r="L36" s="1"/>
    </row>
    <row r="37" spans="2:12" ht="12.75" customHeight="1" x14ac:dyDescent="0.25">
      <c r="B37" s="2"/>
      <c r="C37" s="131"/>
      <c r="D37" s="131"/>
      <c r="E37" s="132"/>
      <c r="F37" s="53"/>
      <c r="G37" s="135"/>
      <c r="H37" s="35"/>
      <c r="I37" s="133"/>
      <c r="K37" s="17"/>
      <c r="L37" s="29"/>
    </row>
    <row r="38" spans="2:12" ht="12.75" customHeight="1" x14ac:dyDescent="0.25">
      <c r="B38" s="2"/>
      <c r="C38" s="131"/>
      <c r="D38" s="131"/>
      <c r="E38" s="132"/>
      <c r="F38" s="53"/>
      <c r="G38" s="135"/>
      <c r="H38" s="35"/>
      <c r="I38" s="136"/>
      <c r="K38" s="17"/>
      <c r="L38" s="29"/>
    </row>
    <row r="39" spans="2:12" ht="12.75" customHeight="1" x14ac:dyDescent="0.25">
      <c r="B39" s="2"/>
      <c r="C39" s="137"/>
      <c r="D39" s="137"/>
      <c r="E39" s="138"/>
      <c r="F39" s="53"/>
      <c r="G39" s="135"/>
      <c r="H39" s="35"/>
      <c r="I39" s="136"/>
      <c r="K39" s="17"/>
      <c r="L39" s="29"/>
    </row>
    <row r="40" spans="2:12" ht="12.75" customHeight="1" x14ac:dyDescent="0.25">
      <c r="B40" s="2"/>
      <c r="C40" s="137"/>
      <c r="D40" s="137"/>
      <c r="E40" s="138"/>
      <c r="F40" s="53"/>
      <c r="G40" s="135"/>
      <c r="H40" s="35"/>
      <c r="I40" s="136"/>
      <c r="K40" s="17"/>
      <c r="L40" s="29"/>
    </row>
    <row r="41" spans="2:12" ht="12.75" customHeight="1" x14ac:dyDescent="0.25">
      <c r="B41" s="2"/>
      <c r="C41" s="137"/>
      <c r="D41" s="137"/>
      <c r="E41" s="138"/>
      <c r="F41" s="53"/>
      <c r="G41" s="135"/>
      <c r="H41" s="35"/>
      <c r="I41" s="136"/>
      <c r="K41" s="17"/>
      <c r="L41" s="29"/>
    </row>
    <row r="42" spans="2:12" ht="12.75" customHeight="1" x14ac:dyDescent="0.25">
      <c r="B42" s="2"/>
      <c r="C42" s="137"/>
      <c r="D42" s="137"/>
      <c r="E42" s="138"/>
      <c r="F42" s="53"/>
      <c r="G42" s="135"/>
      <c r="H42" s="35"/>
      <c r="I42" s="136"/>
      <c r="K42" s="17"/>
      <c r="L42" s="29"/>
    </row>
    <row r="43" spans="2:12" ht="12.75" customHeight="1" x14ac:dyDescent="0.25">
      <c r="B43" s="2"/>
      <c r="C43" s="137"/>
      <c r="D43" s="137"/>
      <c r="E43" s="138"/>
      <c r="F43" s="53"/>
      <c r="G43" s="135"/>
      <c r="H43" s="35"/>
      <c r="I43" s="136"/>
      <c r="K43" s="17"/>
      <c r="L43" s="29"/>
    </row>
    <row r="44" spans="2:12" ht="12.75" customHeight="1" x14ac:dyDescent="0.25">
      <c r="B44" s="2"/>
      <c r="C44" s="137"/>
      <c r="D44" s="137"/>
      <c r="E44" s="138"/>
      <c r="F44" s="53"/>
      <c r="G44" s="135"/>
      <c r="H44" s="35"/>
      <c r="I44" s="136"/>
      <c r="K44" s="17"/>
      <c r="L44" s="29"/>
    </row>
    <row r="45" spans="2:12" ht="12.75" customHeight="1" x14ac:dyDescent="0.25">
      <c r="B45" s="2"/>
      <c r="C45" s="137"/>
      <c r="D45" s="137"/>
      <c r="E45" s="138"/>
      <c r="F45" s="53"/>
      <c r="G45" s="135"/>
      <c r="H45" s="35"/>
      <c r="I45" s="136"/>
      <c r="K45" s="17"/>
      <c r="L45" s="29"/>
    </row>
    <row r="46" spans="2:12" ht="12.75" customHeight="1" x14ac:dyDescent="0.25">
      <c r="B46" s="2"/>
      <c r="C46" s="137"/>
      <c r="D46" s="137"/>
      <c r="E46" s="138"/>
      <c r="F46" s="53"/>
      <c r="G46" s="135"/>
      <c r="H46" s="35"/>
      <c r="I46" s="136"/>
      <c r="K46" s="17"/>
      <c r="L46" s="29"/>
    </row>
    <row r="47" spans="2:12" ht="12.75" customHeight="1" x14ac:dyDescent="0.25">
      <c r="B47" s="2"/>
      <c r="C47" s="137"/>
      <c r="D47" s="137"/>
      <c r="E47" s="138"/>
      <c r="F47" s="53"/>
      <c r="G47" s="135"/>
      <c r="H47" s="35"/>
      <c r="I47" s="136"/>
      <c r="K47" s="17"/>
      <c r="L47" s="29"/>
    </row>
    <row r="48" spans="2:12" ht="12.75" customHeight="1" x14ac:dyDescent="0.25">
      <c r="B48" s="2"/>
      <c r="C48" s="137"/>
      <c r="D48" s="137"/>
      <c r="E48" s="138"/>
      <c r="F48" s="53"/>
      <c r="G48" s="135"/>
      <c r="H48" s="35"/>
      <c r="I48" s="136"/>
      <c r="K48" s="17"/>
      <c r="L48" s="29"/>
    </row>
    <row r="49" spans="2:12" ht="12.75" customHeight="1" x14ac:dyDescent="0.25">
      <c r="B49" s="2"/>
      <c r="C49" s="137"/>
      <c r="D49" s="137"/>
      <c r="E49" s="138"/>
      <c r="F49" s="53"/>
      <c r="G49" s="135"/>
      <c r="H49" s="35"/>
      <c r="I49" s="136"/>
      <c r="K49" s="17"/>
      <c r="L49" s="29"/>
    </row>
    <row r="50" spans="2:12" ht="12.75" customHeight="1" x14ac:dyDescent="0.25">
      <c r="B50" s="2"/>
      <c r="C50" s="137"/>
      <c r="D50" s="137"/>
      <c r="E50" s="138"/>
      <c r="F50" s="53"/>
      <c r="G50" s="135"/>
      <c r="H50" s="35"/>
      <c r="I50" s="136"/>
      <c r="K50" s="17"/>
      <c r="L50" s="29"/>
    </row>
    <row r="51" spans="2:12" ht="12.75" customHeight="1" x14ac:dyDescent="0.25">
      <c r="B51" s="2"/>
      <c r="C51" s="137"/>
      <c r="D51" s="137"/>
      <c r="E51" s="138"/>
      <c r="F51" s="53"/>
      <c r="G51" s="135"/>
      <c r="H51" s="35"/>
      <c r="I51" s="136"/>
      <c r="K51" s="17"/>
      <c r="L51" s="29"/>
    </row>
    <row r="52" spans="2:12" ht="12.75" customHeight="1" x14ac:dyDescent="0.25">
      <c r="B52" s="2"/>
      <c r="C52" s="137"/>
      <c r="D52" s="137"/>
      <c r="E52" s="138"/>
      <c r="F52" s="53"/>
      <c r="G52" s="135"/>
      <c r="H52" s="35"/>
      <c r="I52" s="136"/>
      <c r="K52" s="17"/>
      <c r="L52" s="29"/>
    </row>
    <row r="53" spans="2:12" ht="12.75" customHeight="1" x14ac:dyDescent="0.25">
      <c r="B53" s="2"/>
      <c r="C53" s="137"/>
      <c r="D53" s="137"/>
      <c r="E53" s="138"/>
      <c r="F53" s="33"/>
      <c r="G53" s="135"/>
      <c r="H53" s="35"/>
      <c r="I53" s="136"/>
      <c r="K53" s="17"/>
      <c r="L53" s="29"/>
    </row>
    <row r="54" spans="2:12" ht="12.75" customHeight="1" x14ac:dyDescent="0.25">
      <c r="B54" s="2"/>
      <c r="C54" s="137"/>
      <c r="D54" s="137"/>
      <c r="E54" s="138"/>
      <c r="F54" s="33"/>
      <c r="G54" s="135"/>
      <c r="H54" s="35"/>
      <c r="I54" s="136"/>
      <c r="K54" s="17"/>
      <c r="L54" s="29"/>
    </row>
    <row r="55" spans="2:12" ht="12.75" customHeight="1" x14ac:dyDescent="0.25">
      <c r="B55" s="2"/>
      <c r="C55" s="137"/>
      <c r="D55" s="137"/>
      <c r="E55" s="138"/>
      <c r="F55" s="33"/>
      <c r="G55" s="135"/>
      <c r="H55" s="35"/>
      <c r="I55" s="136"/>
      <c r="K55" s="17"/>
      <c r="L55" s="29"/>
    </row>
    <row r="56" spans="2:12" ht="12.75" customHeight="1" x14ac:dyDescent="0.25">
      <c r="B56" s="2"/>
      <c r="C56" s="137"/>
      <c r="D56" s="137"/>
      <c r="E56" s="138"/>
      <c r="F56" s="33"/>
      <c r="G56" s="135"/>
      <c r="H56" s="35"/>
      <c r="I56" s="136"/>
      <c r="K56" s="17"/>
      <c r="L56" s="29"/>
    </row>
    <row r="57" spans="2:12" ht="12.75" customHeight="1" x14ac:dyDescent="0.25">
      <c r="B57" s="2"/>
      <c r="C57" s="137"/>
      <c r="D57" s="137"/>
      <c r="E57" s="138"/>
      <c r="F57" s="33"/>
      <c r="G57" s="135"/>
      <c r="H57" s="35"/>
      <c r="I57" s="136"/>
      <c r="K57" s="17"/>
      <c r="L57" s="29"/>
    </row>
    <row r="58" spans="2:12" x14ac:dyDescent="0.25">
      <c r="B58" s="2"/>
      <c r="C58" s="21"/>
      <c r="D58" s="139"/>
      <c r="E58" s="140"/>
      <c r="F58" s="139"/>
      <c r="G58" s="52"/>
      <c r="H58" s="52"/>
      <c r="I58" s="141"/>
      <c r="L58" s="1"/>
    </row>
    <row r="59" spans="2:12" x14ac:dyDescent="0.25">
      <c r="B59" s="117"/>
      <c r="C59" s="116"/>
      <c r="D59" s="116" t="s">
        <v>18</v>
      </c>
      <c r="E59" s="118"/>
      <c r="F59" s="42"/>
      <c r="G59" s="43">
        <f>SUM(G37:G56)</f>
        <v>0</v>
      </c>
      <c r="H59" s="57">
        <f>SUM(H37:H56)</f>
        <v>0</v>
      </c>
      <c r="I59" s="58"/>
      <c r="K59" s="59">
        <f>+K38</f>
        <v>0</v>
      </c>
      <c r="L59" s="60"/>
    </row>
    <row r="60" spans="2:12" x14ac:dyDescent="0.25">
      <c r="B60" s="2"/>
      <c r="C60" s="21"/>
      <c r="D60" s="3"/>
      <c r="E60" s="3"/>
      <c r="F60" s="3"/>
      <c r="G60" s="61"/>
      <c r="H60" s="61"/>
      <c r="I60" s="10"/>
      <c r="L60" s="1"/>
    </row>
    <row r="61" spans="2:12" x14ac:dyDescent="0.25">
      <c r="B61" s="2" t="s">
        <v>19</v>
      </c>
      <c r="C61" s="20" t="s">
        <v>20</v>
      </c>
      <c r="D61" s="3"/>
      <c r="E61" s="3"/>
      <c r="F61" s="3"/>
      <c r="G61" s="52"/>
      <c r="H61" s="52"/>
      <c r="I61" s="10"/>
      <c r="L61" s="1"/>
    </row>
    <row r="62" spans="2:12" ht="12.75" customHeight="1" x14ac:dyDescent="0.25">
      <c r="B62" s="2"/>
      <c r="C62" s="131"/>
      <c r="D62" s="131"/>
      <c r="E62" s="132"/>
      <c r="F62" s="53"/>
      <c r="G62" s="135"/>
      <c r="H62" s="62"/>
      <c r="I62" s="142"/>
      <c r="J62" s="17"/>
      <c r="K62" s="24"/>
      <c r="L62" s="39"/>
    </row>
    <row r="63" spans="2:12" ht="12.75" customHeight="1" x14ac:dyDescent="0.25">
      <c r="B63" s="2"/>
      <c r="C63" s="131"/>
      <c r="D63" s="131"/>
      <c r="E63" s="132"/>
      <c r="F63" s="53"/>
      <c r="G63" s="135"/>
      <c r="H63" s="62"/>
      <c r="I63" s="142"/>
      <c r="J63" s="17"/>
      <c r="K63" s="24"/>
      <c r="L63" s="39"/>
    </row>
    <row r="64" spans="2:12" ht="12.75" customHeight="1" x14ac:dyDescent="0.25">
      <c r="B64" s="2"/>
      <c r="C64" s="131"/>
      <c r="D64" s="131"/>
      <c r="E64" s="132"/>
      <c r="F64" s="53"/>
      <c r="G64" s="135"/>
      <c r="H64" s="62"/>
      <c r="I64" s="142"/>
      <c r="J64" s="17"/>
      <c r="K64" s="24"/>
      <c r="L64" s="39"/>
    </row>
    <row r="65" spans="2:12" ht="12.75" customHeight="1" x14ac:dyDescent="0.25">
      <c r="B65" s="2"/>
      <c r="C65" s="131"/>
      <c r="D65" s="131"/>
      <c r="E65" s="132"/>
      <c r="F65" s="53"/>
      <c r="G65" s="135"/>
      <c r="H65" s="62"/>
      <c r="I65" s="142"/>
      <c r="J65" s="17"/>
      <c r="K65" s="24"/>
      <c r="L65" s="39"/>
    </row>
    <row r="66" spans="2:12" ht="12.75" customHeight="1" x14ac:dyDescent="0.25">
      <c r="B66" s="2"/>
      <c r="C66" s="131"/>
      <c r="D66" s="131"/>
      <c r="E66" s="132"/>
      <c r="F66" s="53"/>
      <c r="G66" s="135"/>
      <c r="H66" s="62"/>
      <c r="I66" s="142"/>
      <c r="J66" s="17"/>
      <c r="K66" s="24"/>
      <c r="L66" s="39"/>
    </row>
    <row r="67" spans="2:12" ht="12.75" customHeight="1" x14ac:dyDescent="0.25">
      <c r="B67" s="2"/>
      <c r="C67" s="131"/>
      <c r="D67" s="131"/>
      <c r="E67" s="132"/>
      <c r="F67" s="53"/>
      <c r="G67" s="135"/>
      <c r="H67" s="62"/>
      <c r="I67" s="142"/>
      <c r="J67" s="17"/>
      <c r="K67" s="24"/>
      <c r="L67" s="39"/>
    </row>
    <row r="68" spans="2:12" ht="12.75" customHeight="1" x14ac:dyDescent="0.25">
      <c r="B68" s="2"/>
      <c r="C68" s="131"/>
      <c r="D68" s="131"/>
      <c r="E68" s="132"/>
      <c r="F68" s="53"/>
      <c r="G68" s="135"/>
      <c r="H68" s="62"/>
      <c r="I68" s="142"/>
      <c r="J68" s="17"/>
      <c r="K68" s="24"/>
      <c r="L68" s="39"/>
    </row>
    <row r="69" spans="2:12" ht="12.75" customHeight="1" x14ac:dyDescent="0.25">
      <c r="B69" s="2"/>
      <c r="C69" s="131"/>
      <c r="D69" s="131"/>
      <c r="E69" s="132"/>
      <c r="F69" s="53"/>
      <c r="G69" s="63"/>
      <c r="H69" s="64"/>
      <c r="I69" s="143"/>
      <c r="J69" s="17"/>
      <c r="K69" s="24"/>
      <c r="L69" s="39"/>
    </row>
    <row r="70" spans="2:12" ht="12.75" customHeight="1" x14ac:dyDescent="0.25">
      <c r="B70" s="2"/>
      <c r="C70" s="131"/>
      <c r="D70" s="131"/>
      <c r="E70" s="132"/>
      <c r="F70" s="33"/>
      <c r="G70" s="63"/>
      <c r="H70" s="40"/>
      <c r="I70" s="65"/>
      <c r="J70" s="17"/>
      <c r="K70" s="24"/>
      <c r="L70" s="39"/>
    </row>
    <row r="71" spans="2:12" ht="12.75" customHeight="1" x14ac:dyDescent="0.25">
      <c r="B71" s="2"/>
      <c r="C71" s="131"/>
      <c r="D71" s="131"/>
      <c r="E71" s="132"/>
      <c r="F71" s="33"/>
      <c r="G71" s="63"/>
      <c r="H71" s="40"/>
      <c r="I71" s="65"/>
      <c r="J71" s="17"/>
      <c r="K71" s="24"/>
      <c r="L71" s="39"/>
    </row>
    <row r="72" spans="2:12" ht="12.75" customHeight="1" x14ac:dyDescent="0.25">
      <c r="B72" s="2"/>
      <c r="C72" s="131"/>
      <c r="D72" s="131"/>
      <c r="E72" s="132"/>
      <c r="F72" s="33"/>
      <c r="G72" s="63"/>
      <c r="H72" s="40"/>
      <c r="I72" s="65"/>
      <c r="J72" s="17"/>
      <c r="K72" s="24"/>
      <c r="L72" s="39"/>
    </row>
    <row r="73" spans="2:12" ht="12.75" customHeight="1" x14ac:dyDescent="0.25">
      <c r="B73" s="2"/>
      <c r="C73" s="131"/>
      <c r="D73" s="131"/>
      <c r="E73" s="132"/>
      <c r="F73" s="33"/>
      <c r="G73" s="63"/>
      <c r="H73" s="40"/>
      <c r="I73" s="65"/>
      <c r="J73" s="17"/>
      <c r="K73" s="24"/>
      <c r="L73" s="39"/>
    </row>
    <row r="74" spans="2:12" ht="12.75" customHeight="1" x14ac:dyDescent="0.25">
      <c r="B74" s="2"/>
      <c r="C74" s="131"/>
      <c r="D74" s="131"/>
      <c r="E74" s="132"/>
      <c r="F74" s="33"/>
      <c r="G74" s="63"/>
      <c r="H74" s="40"/>
      <c r="I74" s="65"/>
      <c r="J74" s="17"/>
      <c r="K74" s="24"/>
      <c r="L74" s="39"/>
    </row>
    <row r="75" spans="2:12" ht="12.75" customHeight="1" x14ac:dyDescent="0.25">
      <c r="B75" s="2"/>
      <c r="C75" s="131"/>
      <c r="D75" s="131"/>
      <c r="E75" s="132"/>
      <c r="F75" s="33"/>
      <c r="G75" s="63"/>
      <c r="H75" s="40"/>
      <c r="I75" s="65"/>
      <c r="J75" s="17"/>
      <c r="K75" s="24"/>
      <c r="L75" s="39"/>
    </row>
    <row r="76" spans="2:12" ht="12.75" customHeight="1" x14ac:dyDescent="0.25">
      <c r="B76" s="2"/>
      <c r="C76" s="131"/>
      <c r="D76" s="131"/>
      <c r="E76" s="132"/>
      <c r="F76" s="33"/>
      <c r="G76" s="63"/>
      <c r="H76" s="40"/>
      <c r="I76" s="65"/>
      <c r="J76" s="17"/>
      <c r="K76" s="24"/>
      <c r="L76" s="39"/>
    </row>
    <row r="77" spans="2:12" x14ac:dyDescent="0.25">
      <c r="B77" s="2"/>
      <c r="C77" s="139"/>
      <c r="D77" s="27"/>
      <c r="E77" s="140"/>
      <c r="F77" s="144"/>
      <c r="G77" s="52"/>
      <c r="H77" s="52"/>
      <c r="I77" s="145"/>
      <c r="L77" s="1"/>
    </row>
    <row r="78" spans="2:12" x14ac:dyDescent="0.25">
      <c r="B78" s="117"/>
      <c r="C78" s="119"/>
      <c r="D78" s="116" t="s">
        <v>21</v>
      </c>
      <c r="E78" s="118"/>
      <c r="F78" s="42"/>
      <c r="G78" s="43">
        <f>SUM(G62:G77)</f>
        <v>0</v>
      </c>
      <c r="H78" s="57">
        <f>SUM(H62:H77)</f>
        <v>0</v>
      </c>
      <c r="I78" s="58"/>
      <c r="L78" s="1"/>
    </row>
    <row r="79" spans="2:12" x14ac:dyDescent="0.25">
      <c r="B79" s="2"/>
      <c r="C79" s="3"/>
      <c r="D79" s="21"/>
      <c r="E79" s="67"/>
      <c r="F79" s="21"/>
      <c r="G79" s="52"/>
      <c r="H79" s="52"/>
      <c r="I79" s="10"/>
      <c r="L79" s="1"/>
    </row>
    <row r="80" spans="2:12" x14ac:dyDescent="0.25">
      <c r="B80" s="2" t="s">
        <v>22</v>
      </c>
      <c r="C80" s="20" t="s">
        <v>23</v>
      </c>
      <c r="D80" s="21"/>
      <c r="E80" s="67"/>
      <c r="F80" s="21"/>
      <c r="G80" s="52"/>
      <c r="H80" s="52"/>
      <c r="I80" s="10"/>
      <c r="L80" s="1"/>
    </row>
    <row r="81" spans="2:12" x14ac:dyDescent="0.25">
      <c r="B81" s="2"/>
      <c r="C81" s="131"/>
      <c r="D81" s="68"/>
      <c r="E81" s="132"/>
      <c r="F81" s="69"/>
      <c r="G81" s="70"/>
      <c r="H81" s="70"/>
      <c r="I81" s="133"/>
      <c r="L81" s="1"/>
    </row>
    <row r="82" spans="2:12" x14ac:dyDescent="0.25">
      <c r="B82" s="2"/>
      <c r="C82" s="131"/>
      <c r="D82" s="68"/>
      <c r="E82" s="132"/>
      <c r="F82" s="69"/>
      <c r="G82" s="70"/>
      <c r="H82" s="70"/>
      <c r="I82" s="133"/>
      <c r="L82" s="1"/>
    </row>
    <row r="83" spans="2:12" x14ac:dyDescent="0.25">
      <c r="B83" s="2"/>
      <c r="C83" s="131"/>
      <c r="D83" s="27"/>
      <c r="E83" s="140"/>
      <c r="F83" s="146"/>
      <c r="G83" s="52"/>
      <c r="H83" s="52"/>
      <c r="I83" s="141"/>
      <c r="L83" s="1"/>
    </row>
    <row r="84" spans="2:12" x14ac:dyDescent="0.25">
      <c r="B84" s="2"/>
      <c r="C84" s="3"/>
      <c r="D84" s="21" t="s">
        <v>24</v>
      </c>
      <c r="E84" s="67"/>
      <c r="F84" s="42"/>
      <c r="G84" s="57">
        <f>SUM(G80:G83)</f>
        <v>0</v>
      </c>
      <c r="H84" s="57"/>
      <c r="I84" s="45"/>
      <c r="K84" s="71"/>
      <c r="L84" s="1"/>
    </row>
    <row r="85" spans="2:12" ht="15.75" thickBot="1" x14ac:dyDescent="0.3">
      <c r="B85" s="2"/>
      <c r="C85" s="3"/>
      <c r="D85" s="21"/>
      <c r="E85" s="67"/>
      <c r="F85" s="3"/>
      <c r="G85" s="72"/>
      <c r="H85" s="72"/>
      <c r="I85" s="10"/>
      <c r="K85" s="71"/>
      <c r="L85" s="1"/>
    </row>
    <row r="86" spans="2:12" ht="15.75" thickBot="1" x14ac:dyDescent="0.3">
      <c r="B86" s="46" t="s">
        <v>25</v>
      </c>
      <c r="C86" s="47"/>
      <c r="D86" s="73"/>
      <c r="E86" s="47"/>
      <c r="F86" s="47"/>
      <c r="G86" s="74">
        <f>+G59+G78+G84</f>
        <v>0</v>
      </c>
      <c r="H86" s="75">
        <f>+H59+H78+H84</f>
        <v>0</v>
      </c>
      <c r="I86" s="50"/>
      <c r="K86" s="71">
        <f>+K59</f>
        <v>0</v>
      </c>
      <c r="L86" s="1"/>
    </row>
    <row r="87" spans="2:12" x14ac:dyDescent="0.25">
      <c r="B87" s="2"/>
      <c r="C87" s="3"/>
      <c r="D87" s="21"/>
      <c r="E87" s="67"/>
      <c r="F87" s="3"/>
      <c r="G87" s="72"/>
      <c r="H87" s="72"/>
      <c r="I87" s="10"/>
      <c r="K87" s="71"/>
      <c r="L87" s="1"/>
    </row>
    <row r="88" spans="2:12" x14ac:dyDescent="0.25">
      <c r="B88" s="2" t="s">
        <v>26</v>
      </c>
      <c r="C88" s="20" t="s">
        <v>27</v>
      </c>
      <c r="D88" s="21"/>
      <c r="E88" s="67"/>
      <c r="F88" s="21"/>
      <c r="G88" s="52"/>
      <c r="H88" s="52"/>
      <c r="I88" s="10"/>
      <c r="K88" s="76"/>
      <c r="L88" s="1"/>
    </row>
    <row r="89" spans="2:12" ht="12.75" customHeight="1" x14ac:dyDescent="0.25">
      <c r="B89" s="2"/>
      <c r="C89" s="131"/>
      <c r="D89" s="131"/>
      <c r="E89" s="132"/>
      <c r="F89" s="33"/>
      <c r="G89" s="63"/>
      <c r="H89" s="70"/>
      <c r="I89" s="65"/>
      <c r="J89" s="17"/>
      <c r="K89" s="24"/>
      <c r="L89" s="39"/>
    </row>
    <row r="90" spans="2:12" ht="12.75" customHeight="1" x14ac:dyDescent="0.25">
      <c r="B90" s="2"/>
      <c r="C90" s="131"/>
      <c r="D90" s="131"/>
      <c r="E90" s="132"/>
      <c r="F90" s="33"/>
      <c r="G90" s="63"/>
      <c r="H90" s="40"/>
      <c r="I90" s="65"/>
      <c r="J90" s="17"/>
      <c r="K90" s="24"/>
      <c r="L90" s="39"/>
    </row>
    <row r="91" spans="2:12" x14ac:dyDescent="0.25">
      <c r="B91" s="2"/>
      <c r="C91" s="20"/>
      <c r="D91" s="21"/>
      <c r="E91" s="140"/>
      <c r="F91" s="77"/>
      <c r="G91" s="78"/>
      <c r="H91" s="78"/>
      <c r="I91" s="145"/>
      <c r="L91" s="1"/>
    </row>
    <row r="92" spans="2:12" x14ac:dyDescent="0.25">
      <c r="B92" s="117"/>
      <c r="C92" s="119"/>
      <c r="D92" s="116" t="s">
        <v>28</v>
      </c>
      <c r="E92" s="120"/>
      <c r="F92" s="42"/>
      <c r="G92" s="57">
        <f>SUM(G88:G91)</f>
        <v>0</v>
      </c>
      <c r="H92" s="57"/>
      <c r="I92" s="45"/>
      <c r="K92" s="76"/>
      <c r="L92" s="1"/>
    </row>
    <row r="93" spans="2:12" x14ac:dyDescent="0.25">
      <c r="B93" s="2"/>
      <c r="C93" s="3"/>
      <c r="D93" s="21"/>
      <c r="E93" s="67"/>
      <c r="F93" s="3"/>
      <c r="G93" s="72"/>
      <c r="H93" s="72"/>
      <c r="I93" s="10"/>
      <c r="K93" s="76"/>
      <c r="L93" s="1"/>
    </row>
    <row r="94" spans="2:12" x14ac:dyDescent="0.25">
      <c r="B94" s="2" t="s">
        <v>29</v>
      </c>
      <c r="C94" s="20" t="s">
        <v>30</v>
      </c>
      <c r="D94" s="21"/>
      <c r="E94" s="67"/>
      <c r="F94" s="21"/>
      <c r="G94" s="78"/>
      <c r="H94" s="78"/>
      <c r="I94" s="66"/>
      <c r="K94" s="76"/>
      <c r="L94" s="79"/>
    </row>
    <row r="95" spans="2:12" x14ac:dyDescent="0.25">
      <c r="B95" s="2"/>
      <c r="C95" s="20"/>
      <c r="D95" s="21"/>
      <c r="E95" s="140"/>
      <c r="F95" s="77"/>
      <c r="G95" s="78"/>
      <c r="H95" s="78"/>
      <c r="I95" s="145"/>
      <c r="K95" s="76"/>
      <c r="L95" s="79"/>
    </row>
    <row r="96" spans="2:12" x14ac:dyDescent="0.25">
      <c r="B96" s="2"/>
      <c r="C96" s="20"/>
      <c r="D96" s="21"/>
      <c r="E96" s="140"/>
      <c r="F96" s="77"/>
      <c r="G96" s="78"/>
      <c r="H96" s="78"/>
      <c r="I96" s="145"/>
      <c r="K96" s="76"/>
      <c r="L96" s="79"/>
    </row>
    <row r="97" spans="2:12" x14ac:dyDescent="0.25">
      <c r="B97" s="2"/>
      <c r="C97" s="20"/>
      <c r="D97" s="21" t="s">
        <v>31</v>
      </c>
      <c r="E97" s="67"/>
      <c r="F97" s="42"/>
      <c r="G97" s="57">
        <f>SUM(G93:G96)</f>
        <v>0</v>
      </c>
      <c r="H97" s="57"/>
      <c r="I97" s="45"/>
      <c r="K97" s="76"/>
      <c r="L97" s="79"/>
    </row>
    <row r="98" spans="2:12" ht="15.75" thickBot="1" x14ac:dyDescent="0.3">
      <c r="B98" s="2"/>
      <c r="C98" s="3"/>
      <c r="D98" s="21"/>
      <c r="E98" s="67"/>
      <c r="F98" s="3"/>
      <c r="G98" s="72"/>
      <c r="H98" s="72"/>
      <c r="I98" s="10"/>
      <c r="K98" s="76"/>
      <c r="L98" s="1"/>
    </row>
    <row r="99" spans="2:12" ht="18.75" customHeight="1" thickBot="1" x14ac:dyDescent="0.3">
      <c r="B99" s="80"/>
      <c r="C99" s="81"/>
      <c r="D99" s="82" t="s">
        <v>32</v>
      </c>
      <c r="E99" s="47"/>
      <c r="F99" s="47"/>
      <c r="G99" s="74">
        <f>+G34+G86+G97</f>
        <v>0</v>
      </c>
      <c r="H99" s="75">
        <f>+H34+H86+H97</f>
        <v>0</v>
      </c>
      <c r="I99" s="50"/>
      <c r="K99" s="83">
        <f>+K86+K34</f>
        <v>0</v>
      </c>
      <c r="L99" s="1"/>
    </row>
    <row r="100" spans="2:12" s="85" customFormat="1" x14ac:dyDescent="0.25">
      <c r="B100" s="2"/>
      <c r="C100" s="139"/>
      <c r="D100" s="84" t="s">
        <v>33</v>
      </c>
      <c r="E100" s="21"/>
      <c r="F100" s="147"/>
      <c r="G100" s="86">
        <f>+G99-G14</f>
        <v>0</v>
      </c>
      <c r="H100" s="87" t="s">
        <v>34</v>
      </c>
      <c r="I100" s="88"/>
      <c r="K100" s="89"/>
    </row>
    <row r="101" spans="2:12" s="85" customFormat="1" x14ac:dyDescent="0.25">
      <c r="B101" s="2"/>
      <c r="C101" s="139"/>
      <c r="D101" s="90" t="s">
        <v>35</v>
      </c>
      <c r="E101" s="139"/>
      <c r="F101" s="139"/>
      <c r="G101" s="91"/>
      <c r="H101" s="92"/>
      <c r="I101" s="141"/>
    </row>
    <row r="102" spans="2:12" x14ac:dyDescent="0.25">
      <c r="B102" s="2"/>
      <c r="C102" s="139"/>
      <c r="D102" s="139"/>
      <c r="E102" s="139"/>
      <c r="F102" s="139"/>
      <c r="G102" s="148"/>
      <c r="H102" s="148"/>
      <c r="I102" s="141"/>
      <c r="L102" s="1"/>
    </row>
    <row r="103" spans="2:12" x14ac:dyDescent="0.25">
      <c r="B103" s="2"/>
      <c r="C103" s="93" t="s">
        <v>36</v>
      </c>
      <c r="D103" s="3"/>
      <c r="E103" s="3"/>
      <c r="F103" s="3"/>
      <c r="G103" s="15"/>
      <c r="H103" s="15"/>
      <c r="I103" s="10"/>
      <c r="L103" s="1"/>
    </row>
    <row r="104" spans="2:12" ht="12.75" customHeight="1" x14ac:dyDescent="0.25">
      <c r="B104" s="2"/>
      <c r="C104" s="55"/>
      <c r="D104" s="94" t="s">
        <v>37</v>
      </c>
      <c r="E104" s="32"/>
      <c r="F104" s="33"/>
      <c r="G104" s="34"/>
      <c r="H104" s="35"/>
      <c r="I104" s="36"/>
      <c r="K104" s="17"/>
      <c r="L104" s="29"/>
    </row>
    <row r="105" spans="2:12" ht="12.75" customHeight="1" x14ac:dyDescent="0.25">
      <c r="B105" s="2"/>
      <c r="C105" s="55"/>
      <c r="D105" s="95" t="s">
        <v>38</v>
      </c>
      <c r="E105" s="56"/>
      <c r="F105" s="33"/>
      <c r="G105" s="34"/>
      <c r="H105" s="35"/>
      <c r="I105" s="54"/>
      <c r="K105" s="17"/>
      <c r="L105" s="29"/>
    </row>
    <row r="106" spans="2:12" ht="12.75" customHeight="1" x14ac:dyDescent="0.25">
      <c r="B106" s="2"/>
      <c r="C106" s="55"/>
      <c r="D106" s="95"/>
      <c r="E106" s="56"/>
      <c r="F106" s="33"/>
      <c r="G106" s="34"/>
      <c r="H106" s="35"/>
      <c r="I106" s="54"/>
      <c r="K106" s="17"/>
      <c r="L106" s="29"/>
    </row>
    <row r="107" spans="2:12" ht="12.75" customHeight="1" x14ac:dyDescent="0.25">
      <c r="B107" s="2"/>
      <c r="C107" s="55"/>
      <c r="D107" s="95" t="s">
        <v>39</v>
      </c>
      <c r="E107" s="56"/>
      <c r="F107" s="33"/>
      <c r="G107" s="34"/>
      <c r="H107" s="35"/>
      <c r="I107" s="54"/>
      <c r="K107" s="17"/>
      <c r="L107" s="29"/>
    </row>
    <row r="108" spans="2:12" x14ac:dyDescent="0.25">
      <c r="B108" s="2"/>
      <c r="C108" s="3"/>
      <c r="D108" s="96"/>
      <c r="E108" s="96"/>
      <c r="F108" s="96"/>
      <c r="G108" s="97"/>
      <c r="H108" s="97"/>
      <c r="I108" s="98"/>
    </row>
    <row r="109" spans="2:12" ht="15.75" thickBot="1" x14ac:dyDescent="0.3">
      <c r="B109" s="100"/>
      <c r="C109" s="101"/>
      <c r="D109" s="102"/>
      <c r="E109" s="102"/>
      <c r="F109" s="102"/>
      <c r="G109" s="103"/>
      <c r="H109" s="103"/>
      <c r="I109" s="104">
        <f>+G109-H109</f>
        <v>0</v>
      </c>
    </row>
    <row r="110" spans="2:12" x14ac:dyDescent="0.25">
      <c r="B110" s="2"/>
      <c r="C110" s="3"/>
      <c r="D110" s="3"/>
      <c r="E110" s="3"/>
      <c r="F110" s="3"/>
      <c r="G110" s="12"/>
      <c r="H110" s="3"/>
      <c r="I110" s="10"/>
    </row>
    <row r="111" spans="2:12" ht="15.75" thickBot="1" x14ac:dyDescent="0.3">
      <c r="B111" s="100"/>
      <c r="C111" s="101"/>
      <c r="D111" s="101"/>
      <c r="E111" s="101"/>
      <c r="F111" s="101"/>
      <c r="G111" s="105"/>
      <c r="H111" s="101"/>
      <c r="I111" s="106"/>
    </row>
    <row r="112" spans="2:12" x14ac:dyDescent="0.25">
      <c r="G112" s="108"/>
      <c r="H112" s="109"/>
    </row>
    <row r="113" spans="4:7" x14ac:dyDescent="0.25">
      <c r="D113" s="110"/>
    </row>
    <row r="114" spans="4:7" x14ac:dyDescent="0.25">
      <c r="G114" s="108"/>
    </row>
  </sheetData>
  <mergeCells count="1">
    <mergeCell ref="L11:L12"/>
  </mergeCells>
  <pageMargins left="0.70866141732283472" right="0.70866141732283472" top="0.74803149606299213" bottom="0.74803149606299213" header="0.31496062992125984" footer="0.31496062992125984"/>
  <pageSetup scale="53" orientation="portrait" r:id="rId1"/>
  <headerFooter>
    <oddFooter>&amp;L&amp;D - &amp;T&amp;C&amp;Z&amp;F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Hoja1</vt:lpstr>
      <vt:lpstr>Hoja1!Área_de_impresión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Figueroa (Contractor)</dc:creator>
  <cp:lastModifiedBy>Michael Leyton</cp:lastModifiedBy>
  <cp:lastPrinted>2017-06-21T19:31:39Z</cp:lastPrinted>
  <dcterms:created xsi:type="dcterms:W3CDTF">2017-06-21T19:29:40Z</dcterms:created>
  <dcterms:modified xsi:type="dcterms:W3CDTF">2017-06-22T12:26:41Z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e9060ab5-2d80-418e-b32c-4f42b353455a</vt:lpwstr>
  </property>
</Properties>
</file>