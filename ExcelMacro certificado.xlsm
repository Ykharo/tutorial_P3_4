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chaelleyton/MiDjango/Proy_Python3/tutorial_P3_4/"/>
    </mc:Choice>
  </mc:AlternateContent>
  <bookViews>
    <workbookView xWindow="2280" yWindow="14280" windowWidth="28160" windowHeight="16880" tabRatio="500"/>
  </bookViews>
  <sheets>
    <sheet name="Datos" sheetId="1" r:id="rId1"/>
    <sheet name="Aux" sheetId="2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2" l="1"/>
  <c r="A7" i="2"/>
  <c r="A8" i="2"/>
  <c r="A6" i="2"/>
  <c r="A5" i="2"/>
  <c r="A4" i="2"/>
  <c r="A3" i="2"/>
  <c r="A2" i="2"/>
  <c r="A1" i="2"/>
</calcChain>
</file>

<file path=xl/sharedStrings.xml><?xml version="1.0" encoding="utf-8"?>
<sst xmlns="http://schemas.openxmlformats.org/spreadsheetml/2006/main" count="54" uniqueCount="44">
  <si>
    <t>N Asistente</t>
  </si>
  <si>
    <t>Instituto</t>
  </si>
  <si>
    <t>Nombre</t>
  </si>
  <si>
    <t>Charla</t>
  </si>
  <si>
    <t>Jornada</t>
  </si>
  <si>
    <t>Expositor</t>
  </si>
  <si>
    <t>Especialista</t>
  </si>
  <si>
    <t>Fecha</t>
  </si>
  <si>
    <t>Inst1</t>
  </si>
  <si>
    <t>Inst3</t>
  </si>
  <si>
    <t>Inst4</t>
  </si>
  <si>
    <t>Inst5</t>
  </si>
  <si>
    <t>Asistente 1</t>
  </si>
  <si>
    <t>Asistente 3</t>
  </si>
  <si>
    <t>Asistente 4</t>
  </si>
  <si>
    <t>Asistente 5</t>
  </si>
  <si>
    <t>Charla A</t>
  </si>
  <si>
    <t>Charla B</t>
  </si>
  <si>
    <t>Una</t>
  </si>
  <si>
    <t>Expositor A</t>
  </si>
  <si>
    <t>Expositor B</t>
  </si>
  <si>
    <t>Dr. Jhons</t>
  </si>
  <si>
    <t>Nck</t>
  </si>
  <si>
    <t>[Nombre_Instituto]</t>
  </si>
  <si>
    <t>[Nombre_Completo]</t>
  </si>
  <si>
    <t>[Nombre_Jornada]</t>
  </si>
  <si>
    <t>[Nombre_Expositor]</t>
  </si>
  <si>
    <t>[Nombe_Especialista]</t>
  </si>
  <si>
    <t>[Fecha]</t>
  </si>
  <si>
    <t>[Año]</t>
  </si>
  <si>
    <t xml:space="preserve">Imprimir : </t>
  </si>
  <si>
    <t>&lt;&lt; Cuenta registros</t>
  </si>
  <si>
    <t>&lt;&lt; nombre Plantilla</t>
  </si>
  <si>
    <t>&lt;&lt; path ubicación</t>
  </si>
  <si>
    <t>Pantilla Certificado</t>
  </si>
  <si>
    <t>c:/Users/michaelleyton/MiDjango/Proy_Python3/tutorial_P3_4/</t>
  </si>
  <si>
    <t>&lt;&lt; Nombre archivo</t>
  </si>
  <si>
    <t>Ctto205</t>
  </si>
  <si>
    <t>Primera Mirada</t>
  </si>
  <si>
    <t>Jornada Vespertina</t>
  </si>
  <si>
    <t>Sr. Leon M</t>
  </si>
  <si>
    <t>Juanito Perez</t>
  </si>
  <si>
    <t>Instituto de las Mercedes</t>
  </si>
  <si>
    <t>[Nombre_Charla]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</si>
</sst>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b/>
      <sz val="18"/>
      <color theme="1"/>
      <name val="Calibri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14" fontId="0" fillId="0" borderId="0" xfId="0" applyNumberFormat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Spin" dx="16" fmlaLink="$B$1" max="30000" page="10" val="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101600</xdr:rowOff>
        </xdr:from>
        <xdr:to>
          <xdr:col>1</xdr:col>
          <xdr:colOff>812800</xdr:colOff>
          <xdr:row>0</xdr:row>
          <xdr:rowOff>635000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76200</xdr:colOff>
      <xdr:row>0</xdr:row>
      <xdr:rowOff>63500</xdr:rowOff>
    </xdr:from>
    <xdr:to>
      <xdr:col>2</xdr:col>
      <xdr:colOff>800100</xdr:colOff>
      <xdr:row>0</xdr:row>
      <xdr:rowOff>736600</xdr:rowOff>
    </xdr:to>
    <xdr:pic macro="[0]!ejemplom1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200" y="63500"/>
          <a:ext cx="723900" cy="673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660400</xdr:colOff>
          <xdr:row>11</xdr:row>
          <xdr:rowOff>165100</xdr:rowOff>
        </xdr:from>
        <xdr:to>
          <xdr:col>6</xdr:col>
          <xdr:colOff>698500</xdr:colOff>
          <xdr:row>15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Botón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660400</xdr:colOff>
          <xdr:row>11</xdr:row>
          <xdr:rowOff>190500</xdr:rowOff>
        </xdr:from>
        <xdr:to>
          <xdr:col>6</xdr:col>
          <xdr:colOff>698500</xdr:colOff>
          <xdr:row>16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Botón 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H7"/>
  <sheetViews>
    <sheetView tabSelected="1" workbookViewId="0">
      <selection activeCell="C26" sqref="C26"/>
    </sheetView>
  </sheetViews>
  <sheetFormatPr baseColWidth="10" defaultRowHeight="16" x14ac:dyDescent="0.2"/>
  <cols>
    <col min="2" max="2" width="21.6640625" bestFit="1" customWidth="1"/>
    <col min="3" max="3" width="12" bestFit="1" customWidth="1"/>
    <col min="4" max="4" width="13.83203125" bestFit="1" customWidth="1"/>
    <col min="5" max="5" width="20.1640625" customWidth="1"/>
    <col min="8" max="8" width="14.33203125" customWidth="1"/>
  </cols>
  <sheetData>
    <row r="1" spans="1:8" ht="63" customHeight="1" x14ac:dyDescent="0.2">
      <c r="A1" s="2" t="s">
        <v>30</v>
      </c>
      <c r="B1" s="1">
        <v>2</v>
      </c>
    </row>
    <row r="2" spans="1:8" x14ac:dyDescent="0.2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">
      <c r="A3">
        <v>1</v>
      </c>
      <c r="B3" t="s">
        <v>8</v>
      </c>
      <c r="C3" t="s">
        <v>12</v>
      </c>
      <c r="D3" t="s">
        <v>16</v>
      </c>
      <c r="E3" t="s">
        <v>18</v>
      </c>
      <c r="F3" t="s">
        <v>19</v>
      </c>
      <c r="G3" t="s">
        <v>21</v>
      </c>
      <c r="H3" s="3">
        <v>42737</v>
      </c>
    </row>
    <row r="4" spans="1:8" x14ac:dyDescent="0.2">
      <c r="A4">
        <v>2</v>
      </c>
      <c r="B4" t="s">
        <v>42</v>
      </c>
      <c r="C4" t="s">
        <v>41</v>
      </c>
      <c r="D4" t="s">
        <v>38</v>
      </c>
      <c r="E4" t="s">
        <v>39</v>
      </c>
      <c r="F4" t="s">
        <v>40</v>
      </c>
      <c r="G4" t="s">
        <v>21</v>
      </c>
      <c r="H4" s="3">
        <v>42738</v>
      </c>
    </row>
    <row r="5" spans="1:8" x14ac:dyDescent="0.2">
      <c r="A5">
        <v>3</v>
      </c>
      <c r="B5" t="s">
        <v>9</v>
      </c>
      <c r="C5" t="s">
        <v>13</v>
      </c>
      <c r="D5" t="s">
        <v>16</v>
      </c>
      <c r="E5" t="s">
        <v>18</v>
      </c>
      <c r="F5" t="s">
        <v>19</v>
      </c>
      <c r="G5" t="s">
        <v>21</v>
      </c>
      <c r="H5" s="3">
        <v>42739</v>
      </c>
    </row>
    <row r="6" spans="1:8" x14ac:dyDescent="0.2">
      <c r="A6">
        <v>4</v>
      </c>
      <c r="B6" t="s">
        <v>10</v>
      </c>
      <c r="C6" t="s">
        <v>14</v>
      </c>
      <c r="D6" t="s">
        <v>17</v>
      </c>
      <c r="E6" t="s">
        <v>18</v>
      </c>
      <c r="F6" t="s">
        <v>20</v>
      </c>
      <c r="G6" t="s">
        <v>22</v>
      </c>
      <c r="H6" s="3">
        <v>42740</v>
      </c>
    </row>
    <row r="7" spans="1:8" x14ac:dyDescent="0.2">
      <c r="A7">
        <v>5</v>
      </c>
      <c r="B7" t="s">
        <v>11</v>
      </c>
      <c r="C7" t="s">
        <v>15</v>
      </c>
      <c r="D7" t="s">
        <v>17</v>
      </c>
      <c r="E7" t="s">
        <v>18</v>
      </c>
      <c r="F7" t="s">
        <v>20</v>
      </c>
      <c r="G7" t="s">
        <v>22</v>
      </c>
      <c r="H7" s="3">
        <v>42741</v>
      </c>
    </row>
  </sheetData>
  <conditionalFormatting sqref="A3:H7">
    <cfRule type="expression" dxfId="0" priority="1">
      <formula>$A3=$B$1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1</xdr:col>
                    <xdr:colOff>533400</xdr:colOff>
                    <xdr:row>0</xdr:row>
                    <xdr:rowOff>101600</xdr:rowOff>
                  </from>
                  <to>
                    <xdr:col>1</xdr:col>
                    <xdr:colOff>812800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D8"/>
  <sheetViews>
    <sheetView workbookViewId="0">
      <selection activeCell="C12" sqref="C12"/>
    </sheetView>
  </sheetViews>
  <sheetFormatPr baseColWidth="10" defaultRowHeight="16" x14ac:dyDescent="0.2"/>
  <cols>
    <col min="2" max="2" width="22.83203125" customWidth="1"/>
    <col min="3" max="3" width="70.6640625" customWidth="1"/>
  </cols>
  <sheetData>
    <row r="1" spans="1:4" x14ac:dyDescent="0.2">
      <c r="A1" t="str">
        <f>VLOOKUP(Datos!$B$1,Datos!$A$2:$H$7,2,0)</f>
        <v>Instituto de las Mercedes</v>
      </c>
      <c r="B1" t="s">
        <v>23</v>
      </c>
      <c r="C1">
        <f>COUNTA(B:B)</f>
        <v>8</v>
      </c>
      <c r="D1" t="s">
        <v>31</v>
      </c>
    </row>
    <row r="2" spans="1:4" x14ac:dyDescent="0.2">
      <c r="A2" t="str">
        <f>VLOOKUP(Datos!$B$1,Datos!$A$2:$H$7,3,0)</f>
        <v>Juanito Perez</v>
      </c>
      <c r="B2" t="s">
        <v>24</v>
      </c>
      <c r="C2" t="s">
        <v>34</v>
      </c>
      <c r="D2" t="s">
        <v>32</v>
      </c>
    </row>
    <row r="3" spans="1:4" x14ac:dyDescent="0.2">
      <c r="A3" t="str">
        <f>VLOOKUP(Datos!$B$1,Datos!$A$2:$H$7,4,0)</f>
        <v>Primera Mirada</v>
      </c>
      <c r="B3" t="s">
        <v>43</v>
      </c>
      <c r="C3" t="s">
        <v>35</v>
      </c>
      <c r="D3" t="s">
        <v>33</v>
      </c>
    </row>
    <row r="4" spans="1:4" x14ac:dyDescent="0.2">
      <c r="A4" t="str">
        <f>VLOOKUP(Datos!$B$1,Datos!$A$2:$H$7,5,0)</f>
        <v>Jornada Vespertina</v>
      </c>
      <c r="B4" t="s">
        <v>25</v>
      </c>
      <c r="C4" t="s">
        <v>37</v>
      </c>
      <c r="D4" t="s">
        <v>36</v>
      </c>
    </row>
    <row r="5" spans="1:4" x14ac:dyDescent="0.2">
      <c r="A5" t="str">
        <f>VLOOKUP(Datos!$B$1,Datos!$A$2:$H$7,6,0)</f>
        <v>Sr. Leon M</v>
      </c>
      <c r="B5" t="s">
        <v>26</v>
      </c>
    </row>
    <row r="6" spans="1:4" x14ac:dyDescent="0.2">
      <c r="A6" t="str">
        <f>VLOOKUP(Datos!$B$1,Datos!$A$2:$H$7,7,0)</f>
        <v>Dr. Jhons</v>
      </c>
      <c r="B6" t="s">
        <v>27</v>
      </c>
    </row>
    <row r="7" spans="1:4" x14ac:dyDescent="0.2">
      <c r="A7" s="3">
        <f>VLOOKUP(Datos!$B$1,Datos!$A$2:$H$7,8,0)</f>
        <v>42738</v>
      </c>
      <c r="B7" t="s">
        <v>28</v>
      </c>
    </row>
    <row r="8" spans="1:4" x14ac:dyDescent="0.2">
      <c r="A8">
        <f>YEAR(A7)</f>
        <v>2017</v>
      </c>
      <c r="B8" t="s">
        <v>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ejemplom1">
                <anchor moveWithCells="1" sizeWithCells="1">
                  <from>
                    <xdr:col>3</xdr:col>
                    <xdr:colOff>660400</xdr:colOff>
                    <xdr:row>11</xdr:row>
                    <xdr:rowOff>165100</xdr:rowOff>
                  </from>
                  <to>
                    <xdr:col>6</xdr:col>
                    <xdr:colOff>698500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ejemplom1">
                <anchor moveWithCells="1" sizeWithCells="1">
                  <from>
                    <xdr:col>3</xdr:col>
                    <xdr:colOff>660400</xdr:colOff>
                    <xdr:row>11</xdr:row>
                    <xdr:rowOff>190500</xdr:rowOff>
                  </from>
                  <to>
                    <xdr:col>6</xdr:col>
                    <xdr:colOff>698500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Aux</vt:lpstr>
    </vt:vector>
  </TitlesOfParts>
  <Company>dra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op-03</dc:creator>
  <cp:lastModifiedBy>Michael Leyton</cp:lastModifiedBy>
  <dcterms:created xsi:type="dcterms:W3CDTF">2014-02-26T17:44:36Z</dcterms:created>
  <dcterms:modified xsi:type="dcterms:W3CDTF">2017-04-16T12:58:04Z</dcterms:modified>
</cp:coreProperties>
</file>