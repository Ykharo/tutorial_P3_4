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1563B04E-AB91-75FE-B8BC-B18F01832D57}"/>
  <workbookPr codeName="ThisWorkbook"/>
  <mc:AlternateContent xmlns:mc="http://schemas.openxmlformats.org/markup-compatibility/2006">
    <mc:Choice Requires="x15">
      <x15ac:absPath xmlns:x15ac="http://schemas.microsoft.com/office/spreadsheetml/2010/11/ac" url="/Users/michaelleyton/MiDjango/Proy_Python3/tutorial_P3_4/"/>
    </mc:Choice>
  </mc:AlternateContent>
  <bookViews>
    <workbookView xWindow="0" yWindow="460" windowWidth="17120" windowHeight="31560"/>
  </bookViews>
  <sheets>
    <sheet name="Hoja1" sheetId="1" r:id="rId1"/>
    <sheet name="Hoja2" sheetId="2" r:id="rId2"/>
    <sheet name="Hoja3" sheetId="3" r:id="rId3"/>
    <sheet name="15. Ceco y Dueños" sheetId="4" state="hidden" r:id="rId4"/>
  </sheets>
  <externalReferences>
    <externalReference r:id="rId5"/>
  </externalReferences>
  <definedNames>
    <definedName name="_xlnm.Print_Area" localSheetId="0">Hoja1!$A$1:$D$98</definedName>
    <definedName name="CaratulaEDP">'[1]SC214 C.Toro'!$F$54</definedName>
    <definedName name="CodCtto_214">#REF!</definedName>
    <definedName name="CodCtto_215">#REF!</definedName>
    <definedName name="CodCtto_221">#REF!</definedName>
    <definedName name="CodCtto_222">#REF!</definedName>
    <definedName name="CordTecCtta_214">#REF!</definedName>
    <definedName name="CordTecCtta_215">#REF!</definedName>
    <definedName name="CordTecCtta_221">#REF!</definedName>
    <definedName name="FchIniCtto_214">#REF!</definedName>
    <definedName name="FchIniCtto_221">#REF!</definedName>
    <definedName name="FchTermCtto_214">#REF!</definedName>
    <definedName name="FchTermCtto_221">#REF!</definedName>
    <definedName name="fghfhf" hidden="1">REPT([0]!LOCAL_YEAR_FORMAT,4)&amp;'15. Ceco y Dueños'!LOCAL_DATE_SEPARATOR&amp;REPT([0]!LOCAL_MONTH_FORMAT,2)&amp;'15. Ceco y Dueños'!LOCAL_DATE_SEPARATOR&amp;REPT([0]!LOCAL_DAY_FORMAT,2)&amp;" "&amp;REPT([0]!LOCAL_HOUR_FORMAT,2)&amp;'15. Ceco y Dueños'!LOCAL_TIME_SEPARATOR&amp;REPT([0]!LOCAL_MINUTE_FORMAT,2)&amp;'15. Ceco y Dueños'!LOCAL_TIME_SEPARATOR&amp;REPT([0]!LOCAL_SECOND_FORMAT,2)</definedName>
    <definedName name="LOCAL_DATE_SEPARATOR" localSheetId="3" hidden="1">" "</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#N/A</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localSheetId="3" hidden="1">" "</definedName>
    <definedName name="LOCAL_TIME_SEPARATOR" hidden="1">INDEX(GET.WORKSPACE(37),18)</definedName>
    <definedName name="LOCAL_YEAR_FORMAT" hidden="1">INDEX(GET.WORKSPACE(37),19)</definedName>
    <definedName name="MonedCtto_214">#REF!</definedName>
    <definedName name="MonedCtto_221">#REF!</definedName>
    <definedName name="NEdpPpagCtto_214">#REF!</definedName>
    <definedName name="NEdpPpagCtto_221">#REF!</definedName>
    <definedName name="NODC_214">#REF!</definedName>
    <definedName name="NODC_221">#REF!</definedName>
    <definedName name="NombCtta_214">#REF!</definedName>
    <definedName name="NombCtta_215">#REF!</definedName>
    <definedName name="NombCtta_221">#REF!</definedName>
    <definedName name="NombCtta_222">#REF!</definedName>
    <definedName name="NombCtto_214">#REF!</definedName>
    <definedName name="NombCtto_215">#REF!</definedName>
    <definedName name="NombCtto_221">#REF!</definedName>
    <definedName name="NombCtto_222">#REF!</definedName>
    <definedName name="ObsCtto_214">#REF!</definedName>
    <definedName name="ObsCtto_221">#REF!</definedName>
    <definedName name="Prueb5">#REF!</definedName>
    <definedName name="Prueba_1">#REF!</definedName>
    <definedName name="Prueba_221">#REF!</definedName>
    <definedName name="Prueba_222">#REF!</definedName>
    <definedName name="Prueba_225">#REF!</definedName>
    <definedName name="Prueba_250">#REF!</definedName>
    <definedName name="Prueba1">#REF!</definedName>
    <definedName name="Prueba1_221">#REF!</definedName>
    <definedName name="Prueba1.SC221">#REF!</definedName>
    <definedName name="RutCtta_214">#REF!</definedName>
    <definedName name="RutCtta_215">#REF!</definedName>
    <definedName name="RutCtta_221">#REF!</definedName>
    <definedName name="sdadsa" hidden="1">#N/A</definedName>
    <definedName name="ValAdicCtto_214">#REF!</definedName>
    <definedName name="ValAdicCtto_221">#REF!</definedName>
    <definedName name="ValAdjCtto_214">#REF!</definedName>
    <definedName name="ValAdjCtto_221">#REF!</definedName>
    <definedName name="ValCttoBase_214">#REF!</definedName>
    <definedName name="ValCttoBase_221">#REF!</definedName>
    <definedName name="ValEdpApCtto_214">#REF!</definedName>
    <definedName name="ValEdpApCtto_221">#REF!</definedName>
    <definedName name="ValRestPpagCtto_214">#REF!</definedName>
    <definedName name="ValRestPpagCtto_221">#REF!</definedName>
    <definedName name="ValRetPPagCtto_214">#REF!</definedName>
    <definedName name="ValRetPPagCtto_221">#REF!</definedName>
    <definedName name="ValtotApCtto_214">#REF!</definedName>
    <definedName name="ValtotApCtto_221">#REF!</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93" i="1" l="1"/>
  <c r="D88" i="1"/>
  <c r="D9" i="1"/>
  <c r="F42" i="1"/>
  <c r="D84" i="1"/>
  <c r="E2" i="2"/>
  <c r="F2" i="2"/>
  <c r="I2" i="2"/>
  <c r="J2" i="2"/>
  <c r="K2" i="2"/>
  <c r="L2" i="2"/>
  <c r="M2" i="2"/>
  <c r="N2" i="2"/>
  <c r="O2" i="2"/>
  <c r="P2" i="2"/>
  <c r="Q2" i="2"/>
  <c r="R2" i="2"/>
  <c r="S2" i="2"/>
  <c r="X2" i="2"/>
  <c r="Y2" i="2"/>
  <c r="Z2" i="2"/>
  <c r="AA2" i="2"/>
  <c r="AB2" i="2"/>
  <c r="AC2" i="2"/>
  <c r="AD2" i="2"/>
  <c r="AE2" i="2"/>
  <c r="AG2" i="2"/>
  <c r="AH2" i="2"/>
  <c r="AI2" i="2"/>
  <c r="AJ2" i="2"/>
  <c r="AL2" i="2"/>
  <c r="AM2" i="2"/>
  <c r="AN2" i="2"/>
  <c r="AO2" i="2"/>
  <c r="AP2" i="2"/>
  <c r="AQ2" i="2"/>
  <c r="AR2" i="2"/>
  <c r="AS2" i="2"/>
  <c r="AT2" i="2"/>
  <c r="AU2" i="2"/>
  <c r="AV2" i="2"/>
  <c r="AW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2" i="2"/>
  <c r="D9" i="4"/>
  <c r="D53" i="1"/>
  <c r="U2" i="2"/>
  <c r="D80" i="1"/>
  <c r="D18" i="1"/>
  <c r="G2" i="2"/>
  <c r="D2" i="2"/>
  <c r="D7" i="1"/>
  <c r="C2" i="2"/>
  <c r="D5" i="1"/>
  <c r="B2" i="2"/>
  <c r="D50" i="1"/>
  <c r="T2" i="2"/>
  <c r="D54" i="1"/>
  <c r="V2" i="2"/>
  <c r="H25" i="3"/>
  <c r="D71" i="1"/>
  <c r="AF2" i="2"/>
  <c r="E42" i="1"/>
  <c r="D22" i="1"/>
  <c r="H2" i="2"/>
  <c r="C4" i="3"/>
  <c r="C3" i="3"/>
  <c r="E47" i="1"/>
  <c r="D55" i="1"/>
  <c r="W2" i="2"/>
  <c r="B6" i="3"/>
  <c r="D81" i="1"/>
  <c r="AK2" i="2"/>
</calcChain>
</file>

<file path=xl/sharedStrings.xml><?xml version="1.0" encoding="utf-8"?>
<sst xmlns="http://schemas.openxmlformats.org/spreadsheetml/2006/main" count="604" uniqueCount="343">
  <si>
    <t>Nombre Contratista</t>
  </si>
  <si>
    <t>Fecha Inicio Servicio</t>
  </si>
  <si>
    <t>Fecha Término Servicio</t>
  </si>
  <si>
    <t>Plazo Servicio</t>
  </si>
  <si>
    <t>Valor Boleta</t>
  </si>
  <si>
    <t>Valor % retenciones</t>
  </si>
  <si>
    <t>Multas</t>
  </si>
  <si>
    <t>Coordinación</t>
  </si>
  <si>
    <t>Aportes de UN</t>
  </si>
  <si>
    <t>Ejemplo</t>
  </si>
  <si>
    <t>Notificaciones</t>
  </si>
  <si>
    <t>Personería</t>
  </si>
  <si>
    <t>Información Contrato</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</si>
  <si>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</si>
  <si>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</si>
  <si>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</si>
  <si>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</si>
  <si>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</si>
  <si>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</si>
  <si>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</si>
  <si>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</si>
  <si>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</si>
  <si>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</si>
  <si>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</si>
  <si>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</si>
  <si>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</si>
  <si>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</si>
  <si>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</si>
  <si>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</si>
  <si>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</si>
  <si>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</si>
  <si>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</si>
  <si>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</si>
  <si>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</si>
  <si>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</si>
  <si>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</si>
  <si>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</si>
  <si>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</si>
  <si>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</si>
  <si>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</si>
  <si>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</si>
  <si>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</si>
  <si>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</si>
  <si>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</si>
  <si>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</si>
  <si>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</si>
  <si>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</si>
  <si>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</si>
  <si>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</si>
  <si>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</si>
  <si>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</si>
  <si>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</si>
  <si>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</si>
  <si>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</si>
  <si>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</si>
  <si>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</si>
  <si>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</si>
  <si>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</si>
  <si>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</si>
  <si>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</si>
  <si>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</si>
  <si>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</si>
  <si>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</si>
  <si>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</si>
  <si>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</si>
  <si>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</si>
  <si>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</si>
  <si>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</si>
  <si>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</si>
  <si>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</si>
  <si>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</si>
  <si>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</si>
  <si>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</si>
  <si>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</si>
  <si>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</si>
  <si>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</si>
  <si>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</si>
  <si>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</si>
  <si>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</si>
  <si>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</si>
  <si>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Michael Hubbard</t>
  </si>
  <si>
    <t>No Aplica</t>
  </si>
  <si>
    <t>I68</t>
  </si>
  <si>
    <t>I69</t>
  </si>
  <si>
    <t>I70</t>
  </si>
  <si>
    <t>UF</t>
  </si>
  <si>
    <t>I71</t>
  </si>
  <si>
    <t>I72</t>
  </si>
  <si>
    <t>I73</t>
  </si>
  <si>
    <t>I74</t>
  </si>
  <si>
    <t>Antonio Marambio</t>
  </si>
  <si>
    <t>10.971.982-k</t>
  </si>
  <si>
    <t>I75</t>
  </si>
  <si>
    <t>I76</t>
  </si>
  <si>
    <t>I77</t>
  </si>
  <si>
    <t>I78</t>
  </si>
  <si>
    <t>I79</t>
  </si>
  <si>
    <t>I80</t>
  </si>
  <si>
    <t>I81</t>
  </si>
  <si>
    <t>I82</t>
  </si>
  <si>
    <t>I83</t>
  </si>
  <si>
    <t>I84</t>
  </si>
  <si>
    <t>I85</t>
  </si>
  <si>
    <t>I86</t>
  </si>
  <si>
    <t>I87</t>
  </si>
  <si>
    <t>I88</t>
  </si>
  <si>
    <t>I89</t>
  </si>
  <si>
    <t>I90</t>
  </si>
  <si>
    <t>Walter Droppelmann</t>
  </si>
  <si>
    <t>Petri Salopera</t>
  </si>
  <si>
    <t>Cesar Ortiz</t>
  </si>
  <si>
    <t>Julio Retamal</t>
  </si>
  <si>
    <t>9.699.162-2</t>
  </si>
  <si>
    <t>14.627.500-5</t>
  </si>
  <si>
    <t>11.436.284-0</t>
  </si>
  <si>
    <t>9.727.084-8</t>
  </si>
  <si>
    <t>8.125.099-5</t>
  </si>
  <si>
    <t>Carlos Ochoa</t>
  </si>
  <si>
    <t>14.659.889-2</t>
  </si>
  <si>
    <t>7.044.596-4</t>
  </si>
  <si>
    <t>Christian Arentsen</t>
  </si>
  <si>
    <t>Aplica</t>
  </si>
  <si>
    <t>CLP</t>
  </si>
  <si>
    <t>Peso</t>
  </si>
  <si>
    <t>Pesos</t>
  </si>
  <si>
    <t>Unidades de Fomento</t>
  </si>
  <si>
    <t>Unidades de Fomentos</t>
  </si>
  <si>
    <t>Dólar</t>
  </si>
  <si>
    <t>Dolares</t>
  </si>
  <si>
    <t>Dólar Canadience</t>
  </si>
  <si>
    <t>Dolares Canadienses</t>
  </si>
  <si>
    <t>Euro</t>
  </si>
  <si>
    <t>Euros</t>
  </si>
  <si>
    <t>USD</t>
  </si>
  <si>
    <t>CAD</t>
  </si>
  <si>
    <t>EUR</t>
  </si>
  <si>
    <t>julio.retamal@nuevaunion.cl</t>
  </si>
  <si>
    <t>Gerente Recursos Humanos</t>
  </si>
  <si>
    <t>Cuadro Precio Unitario</t>
  </si>
  <si>
    <t>Ctto:</t>
  </si>
  <si>
    <t>Nombre:</t>
  </si>
  <si>
    <t>Ítem</t>
  </si>
  <si>
    <t>Descripción</t>
  </si>
  <si>
    <t>Unidad</t>
  </si>
  <si>
    <t>Cantidad</t>
  </si>
  <si>
    <t>P. Unitario
(UF)</t>
  </si>
  <si>
    <t>Valor Total
(UF)</t>
  </si>
  <si>
    <t>Alcance</t>
  </si>
  <si>
    <t>Sandra Moreira</t>
  </si>
  <si>
    <t>Gerente EIA</t>
  </si>
  <si>
    <t>Sandra.moreira@nuevaunion.cl</t>
  </si>
  <si>
    <t>N°Contrato</t>
  </si>
  <si>
    <t>Nombre Contrato</t>
  </si>
  <si>
    <t>N°Carta</t>
  </si>
  <si>
    <t>Fecha Carta Adj Texto</t>
  </si>
  <si>
    <t>Dirección Contratista</t>
  </si>
  <si>
    <t>Cargo Destinatario</t>
  </si>
  <si>
    <t>Modalidad Contratación</t>
  </si>
  <si>
    <t>Aportes del Mandante</t>
  </si>
  <si>
    <t>Moneda Valor Contrato</t>
  </si>
  <si>
    <t>Valor Contrato</t>
  </si>
  <si>
    <t>Valor Contrato Texto</t>
  </si>
  <si>
    <t>Multa diaria</t>
  </si>
  <si>
    <t>Coordinador Técnico</t>
  </si>
  <si>
    <t>Cargo Coordinador Técnico</t>
  </si>
  <si>
    <t>Nombre Administrador Contrato</t>
  </si>
  <si>
    <t>Cargo Adminitrador Ctto</t>
  </si>
  <si>
    <t>Oferta Nombre</t>
  </si>
  <si>
    <t>Oferta Fecha</t>
  </si>
  <si>
    <t>Apoderado A</t>
  </si>
  <si>
    <t>Administrador de Contratos</t>
  </si>
  <si>
    <t>Plazo Servicio(texto)</t>
  </si>
  <si>
    <t>Correo Cordinador Técnico</t>
  </si>
  <si>
    <t>Correo Administrador Contratos</t>
  </si>
  <si>
    <t>Cargo Apoderado A</t>
  </si>
  <si>
    <t>Director de Proyecto</t>
  </si>
  <si>
    <t>Sr. Michael Leyton</t>
  </si>
  <si>
    <t>ACTIVIDADES DE GABINETE</t>
  </si>
  <si>
    <t xml:space="preserve">Desarrollo Permiso Asociado a Art. 148 </t>
  </si>
  <si>
    <t>Desarrollo Permiso Asociado a Art. 150</t>
  </si>
  <si>
    <t>Desarrollo Permiso Asociado a Art. 151</t>
  </si>
  <si>
    <t>Desarrollo Permiso Asociado a Art  152</t>
  </si>
  <si>
    <t>Scoping PAS150</t>
  </si>
  <si>
    <t>ACTIVIDADES DE TERRENO</t>
  </si>
  <si>
    <t>Gl</t>
  </si>
  <si>
    <t>Gastos Reembolsables</t>
  </si>
  <si>
    <t>Valor Servicio :</t>
  </si>
  <si>
    <t>Superficie
 (Ha)</t>
  </si>
  <si>
    <t>Michael.leyton@nuevaunion.cl</t>
  </si>
  <si>
    <t>Sr. Cristian García</t>
  </si>
  <si>
    <t>Ingeniero Senior Planificación Mina</t>
  </si>
  <si>
    <t>Dueño Centro Costo (Firma)</t>
  </si>
  <si>
    <t>Cargo Dueño Centro Costo (Firma)</t>
  </si>
  <si>
    <t>Walter Dropplemann</t>
  </si>
  <si>
    <t>Gerente de Proyecto</t>
  </si>
  <si>
    <t>Miramar 382, Huasco</t>
  </si>
  <si>
    <t>Sr. José Ignacio Calvo Molina</t>
  </si>
  <si>
    <t>Administrador de Obra</t>
  </si>
  <si>
    <t>Contrato Mixto con partidas cotizadas a Suma Alzada y serie de Precios Unitarios</t>
  </si>
  <si>
    <t>EM-IN-SC-285</t>
  </si>
  <si>
    <t>El Proyecto, en la actual fase de desarrollo, cuenta con un Campamento en el área de La Fortuna que requiere la rehabilitación de sus instalaciones, en específico el área correspondiente a la ampliación realizada el año 2012. Este campamento se debe habilitar para un total de 154 personas (10 personas en el Edificio Dormitorios Supervisores y 144 en los Edificios Dormitorios Trabajadores 1 a 3, lo que implica un total de 48 personas en cada uno de estos últimos, dada la necesidad de reducir a 3 las personas por pieza, en consideración a la normativa vigente).
En particular se requiere el desarrollo de la ingeniería eléctrica, elaboración de documentación para gestión de permisos sectoriales, suministro, fabricación, transporte, obras en terreno, montaje, instalaciones interiores, terminaciones en terreno, equipamiento y mobiliario, pruebas de todos los sistemas, planos As built y todas las obras necesarias para la habilitación de las instalaciones existentes del Campamento La Fortuna, quedando en funcionamiento y plenamente habitables.</t>
  </si>
  <si>
    <t>Afecto a IVA</t>
  </si>
  <si>
    <t>332631660</t>
  </si>
  <si>
    <t>• Espacio físico para instalaciones, batea para depósito de residuos domésticos e industriales.
• Servicios de atención paramédica ambulatoria.</t>
  </si>
  <si>
    <t>Oferta Técnica-Económica Contrato N° EM-IN-SC-285 "Servicio de Reabilitación Campamento la Fortuna" Rev. 0</t>
  </si>
  <si>
    <t>0,2%</t>
  </si>
  <si>
    <t>Representantes</t>
  </si>
  <si>
    <t>RUT</t>
  </si>
  <si>
    <t>Tipo</t>
  </si>
  <si>
    <t>Pasaporte de los Estados Unidos N° 488772086</t>
  </si>
  <si>
    <t>A</t>
  </si>
  <si>
    <t>B</t>
  </si>
  <si>
    <t>Roberto del Fierro</t>
  </si>
  <si>
    <t>Moneda</t>
  </si>
  <si>
    <t>Singular</t>
  </si>
  <si>
    <t>Plural</t>
  </si>
  <si>
    <t>Impuesto</t>
  </si>
  <si>
    <t>Boleta</t>
  </si>
  <si>
    <t>Afecto a Iva</t>
  </si>
  <si>
    <t>No Afecto a Iva</t>
  </si>
  <si>
    <t>Afecto a Retención Legal</t>
  </si>
  <si>
    <t>Coordinadores Técnicos</t>
  </si>
  <si>
    <t>Correo</t>
  </si>
  <si>
    <t>Cargo</t>
  </si>
  <si>
    <t>Sr. Julio Retamal</t>
  </si>
  <si>
    <t>Sra. Sandra Moreira</t>
  </si>
  <si>
    <t>Sr. Walter Droppelman</t>
  </si>
  <si>
    <t>walter.droppelmann@nuevaunion.cl</t>
  </si>
  <si>
    <t>cristian.garcia@teck.com</t>
  </si>
  <si>
    <t>Mandante</t>
  </si>
  <si>
    <t>I01</t>
  </si>
  <si>
    <t>SOCIEDAD CONTRACTUAL MINERA EL MORRO</t>
  </si>
  <si>
    <t>I02</t>
  </si>
  <si>
    <t>RUT Mandante</t>
  </si>
  <si>
    <t>I03</t>
  </si>
  <si>
    <t>Dirección Mandante</t>
  </si>
  <si>
    <t>I04</t>
  </si>
  <si>
    <t>Dirección</t>
  </si>
  <si>
    <t>Denominacion</t>
  </si>
  <si>
    <t>Giro</t>
  </si>
  <si>
    <t>Pers. Fecha</t>
  </si>
  <si>
    <t>Notario Público</t>
  </si>
  <si>
    <t>78.840.880-3</t>
  </si>
  <si>
    <t>Brasil N°308, Vallenar</t>
  </si>
  <si>
    <t>El Morro</t>
  </si>
  <si>
    <t xml:space="preserve">Extracción de minerales </t>
  </si>
  <si>
    <t>23 de abril de 2014</t>
  </si>
  <si>
    <t>doña Antonieta Mendoza Escalas, Titular de la Décimo Sexta Notaría de Santiago.</t>
  </si>
  <si>
    <t>NUEVAUNIÓN SPA</t>
  </si>
  <si>
    <t>99.589.930 - 2</t>
  </si>
  <si>
    <t>Isidora Goyenechea 2.800, oficina 802, Comuna de las Condes, Ciudad de Santiago</t>
  </si>
  <si>
    <t>NuevaUnión</t>
  </si>
  <si>
    <t xml:space="preserve">Exploración y Explotación Minera </t>
  </si>
  <si>
    <t>23 de junio de 2016</t>
  </si>
  <si>
    <t>el Sr. Raúl Undurraga Lazo, Notario Suplente de la Décimo Sexta Notaría de Santiago</t>
  </si>
  <si>
    <t>Ejemplo:</t>
  </si>
  <si>
    <t>Destinatario Ctta. Nombre</t>
  </si>
  <si>
    <t>0657 (Sólo Correlativo)</t>
  </si>
  <si>
    <t>Afecto/Exento a IVA</t>
  </si>
  <si>
    <t>NU-IN-SC-281</t>
  </si>
  <si>
    <t>Sondajes Quebrada La Fortuna, Campaña 2017</t>
  </si>
  <si>
    <t>Griffith Drilling Perforaciones Limitada</t>
  </si>
  <si>
    <t>Parcela 21, Vegas Sur, La Serena</t>
  </si>
  <si>
    <t>Sr. Boyd Griffith</t>
  </si>
  <si>
    <t>Gerente General</t>
  </si>
  <si>
    <t>dos mil trescientos cuarenta y dos millones setecientos veintiocho mil quinientos setenta y dos Pesos</t>
  </si>
  <si>
    <t xml:space="preserve">Sr. Klaus Heppe </t>
  </si>
  <si>
    <t>Fecha de Devolución Carta</t>
  </si>
  <si>
    <t>0,1%</t>
  </si>
  <si>
    <t>Multa</t>
  </si>
  <si>
    <t>Oferta</t>
  </si>
  <si>
    <t>Firmas</t>
  </si>
  <si>
    <t>Oferta Técnica y Comercial Griffith Drilling Rev. 2 "Sondaje Quebrada La Fortuna"</t>
  </si>
  <si>
    <t>Dueño CeCo</t>
  </si>
  <si>
    <t>Representante B</t>
  </si>
  <si>
    <t>3052 - External consultant</t>
  </si>
  <si>
    <t>Klaus Heppe</t>
  </si>
  <si>
    <t>Gerente Geologia</t>
  </si>
  <si>
    <t>3301 - Staffing</t>
  </si>
  <si>
    <t>Gerente RRHH</t>
  </si>
  <si>
    <t>3302 - General administration expenses</t>
  </si>
  <si>
    <t>3303 - Travel international</t>
  </si>
  <si>
    <t>3304 - Domestic Flights</t>
  </si>
  <si>
    <t>3305 - IT Licensing , IT Services</t>
  </si>
  <si>
    <t>Rubén Abán</t>
  </si>
  <si>
    <t>Lider IT</t>
  </si>
  <si>
    <t xml:space="preserve">3306 - Santiago Office </t>
  </si>
  <si>
    <t>3308 - Workshops</t>
  </si>
  <si>
    <t xml:space="preserve">3309 - Corporate charges </t>
  </si>
  <si>
    <t>3314 - Site Camps</t>
  </si>
  <si>
    <t>Gerente Proyecto</t>
  </si>
  <si>
    <t>3315 - Oficinas Vallenar</t>
  </si>
  <si>
    <t>Sergio Molina</t>
  </si>
  <si>
    <t>Gerente Comunidades</t>
  </si>
  <si>
    <t>3316 - Ing conceptual camino Ruta 5 a Huasco</t>
  </si>
  <si>
    <t>3317 - Pipelines</t>
  </si>
  <si>
    <t>3321 - Topografia</t>
  </si>
  <si>
    <t>3322 - Revisión ing correas</t>
  </si>
  <si>
    <t>3323 - Ing transporte agua construcción</t>
  </si>
  <si>
    <t>3324 - Compendio información metalúrgica</t>
  </si>
  <si>
    <t xml:space="preserve">3328 - Ing pre-factibilidad LAT Las Losas a Rel a EM </t>
  </si>
  <si>
    <t>3329 - Revisión y optimización planta concentradora - Fluor</t>
  </si>
  <si>
    <t>3331 - Apoyo Fluor a Medio Ambiente - Fluor</t>
  </si>
  <si>
    <t>3332 - Mine Planning external design</t>
  </si>
  <si>
    <t>Cristian Garcia</t>
  </si>
  <si>
    <t>3333 - Fragmentation studies (EM +RE)</t>
  </si>
  <si>
    <t>3334 - Other Softwares</t>
  </si>
  <si>
    <t>3335 - External consultant</t>
  </si>
  <si>
    <t>3336 - EMorro core shed</t>
  </si>
  <si>
    <t>3337 - RE Mine property</t>
  </si>
  <si>
    <t>Gerente Legal</t>
  </si>
  <si>
    <t xml:space="preserve">3338 - EM Mine property </t>
  </si>
  <si>
    <t>3339 - Legal/ consulting/easements</t>
  </si>
  <si>
    <t>3340 - Permits&amp;Licences</t>
  </si>
  <si>
    <t>3341 - Communication and Government</t>
  </si>
  <si>
    <t>Gerente de Sustentabilidad</t>
  </si>
  <si>
    <t>3342 - Community Development plan</t>
  </si>
  <si>
    <t>3343 - Community Engagement</t>
  </si>
  <si>
    <t>3344 - EIA consultant, studies</t>
  </si>
  <si>
    <t>3346 - Enviromental monitoring Air &amp;Water</t>
  </si>
  <si>
    <t>3347 - Enviromental Permitting</t>
  </si>
  <si>
    <t>3348 - Sondajes geo met</t>
  </si>
  <si>
    <t>3349 - Geo tecnica</t>
  </si>
  <si>
    <t>Alcance consiste en:</t>
  </si>
  <si>
    <t>Ejecutar un total de 10.750 metros de sondajes (aproximadamente), entre 375 y 800 metros de profundidad, para investigación geotécnica y obtención de muestras para pruebas geo-metalúrgicas, de acuerdo con lo estipulado en las Bases Técnicas para diámetro HQ3 y PQ. 
Además, considera ejecutar un total de 300 metros en dos sondajes de 150 metros de profundidad cada uno, en la cabecera del Río Manflas, para obtener información suficiente como para alimentar el modelo hidrogeológico de la Zona de la Fortuna, requerido en el EIA.</t>
  </si>
  <si>
    <t xml:space="preserve">Los aportes que El Mandante hará para prestación del Servicio objeto del Contrato son los identificados como gastos a ser reembolsados por el mandante y los cuales serán pagados a su costo real (sin recargo por costos de administración) siempre y cuando ellos estuviesen previamente aprobados por El Mandante, y sólo por los conceptos indicados a continuación:
«I11»
Los gastos incurridos por el empleado del Contratista deben ser respaldados con fotocopias legibles de cada  una  de  las  facturas  o  boletas de los proveedores por las cuales solicita rembolso. Estas copias deben exhibir una constancia que se encuentran pagadas al proveedor.
</t>
  </si>
  <si>
    <t>Los aportes que El Mandante hará para prestación del Servicio objeto del Contrato se indican a continuación:
•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</si>
  <si>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2.342.728.572</t>
  </si>
  <si>
    <t>Monto Boleta Texto</t>
  </si>
  <si>
    <t>15</t>
  </si>
  <si>
    <t>Monto Boleta de Garantía (%)</t>
  </si>
  <si>
    <t>por ciento</t>
  </si>
  <si>
    <t>Fecha Anexo 2</t>
  </si>
  <si>
    <t>Anexo 2 (Dejar en blanco si no aplica)</t>
  </si>
  <si>
    <t>Carta de Compromisos del Contratista</t>
  </si>
  <si>
    <t>Anexo 3 (Dejar en blanco si no aplica)</t>
  </si>
  <si>
    <t>Fecha Anexo 3</t>
  </si>
  <si>
    <t>Texto anexo 2</t>
  </si>
  <si>
    <t>Texto Anexo 3</t>
  </si>
  <si>
    <t>0005</t>
  </si>
  <si>
    <t>Sr. Jaime Marín</t>
  </si>
  <si>
    <t>jaime.marin@nuevaunion.cl</t>
  </si>
  <si>
    <t>Superintendente Tranque de Relaves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</si>
</sst>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 #,##0_ ;_ * \-#,##0_ ;_ * &quot;-&quot;_ ;_ @_ "/>
    <numFmt numFmtId="165" formatCode="#,##0.0"/>
  </numFmts>
  <fonts count="10" x14ac:knownFonts="1">
    <font>
      <sz val="11"/>
      <color theme="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b/>
      <u/>
      <sz val="11"/>
      <color theme="1"/>
      <name val="Calibri"/>
      <family val="2"/>
      <scheme val="minor"/>
    </font>
    <font>
      <i/>
      <sz val="11"/>
      <color rgb="FFFF0000"/>
      <name val="Calibri"/>
      <family val="2"/>
      <scheme val="minor"/>
    </font>
    <font>
      <u/>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s>
  <fills count="9">
    <fill>
      <patternFill patternType="none"/>
    </fill>
    <fill>
      <patternFill patternType="gray125"/>
    </fill>
    <fill>
      <patternFill patternType="solid">
        <fgColor theme="2"/>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2" tint="-9.9978637043366805E-2"/>
        <bgColor indexed="64"/>
      </patternFill>
    </fill>
  </fills>
  <borders count="23">
    <border>
      <left/>
      <right/>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top/>
      <bottom/>
      <diagonal/>
    </border>
    <border>
      <left style="hair">
        <color auto="1"/>
      </left>
      <right/>
      <top style="thin">
        <color auto="1"/>
      </top>
      <bottom style="thin">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style="thin">
        <color auto="1"/>
      </top>
      <bottom style="thin">
        <color auto="1"/>
      </bottom>
      <diagonal/>
    </border>
    <border>
      <left/>
      <right style="hair">
        <color auto="1"/>
      </right>
      <top/>
      <bottom/>
      <diagonal/>
    </border>
    <border>
      <left style="hair">
        <color auto="1"/>
      </left>
      <right style="hair">
        <color auto="1"/>
      </right>
      <top/>
      <bottom/>
      <diagonal/>
    </border>
    <border>
      <left/>
      <right style="hair">
        <color auto="1"/>
      </right>
      <top style="hair">
        <color auto="1"/>
      </top>
      <bottom/>
      <diagonal/>
    </border>
    <border>
      <left style="hair">
        <color auto="1"/>
      </left>
      <right/>
      <top style="hair">
        <color auto="1"/>
      </top>
      <bottom/>
      <diagonal/>
    </border>
    <border>
      <left/>
      <right/>
      <top style="hair">
        <color auto="1"/>
      </top>
      <bottom style="hair">
        <color auto="1"/>
      </bottom>
      <diagonal/>
    </border>
    <border>
      <left style="hair">
        <color auto="1"/>
      </left>
      <right style="hair">
        <color auto="1"/>
      </right>
      <top style="hair">
        <color auto="1"/>
      </top>
      <bottom/>
      <diagonal/>
    </border>
    <border>
      <left style="hair">
        <color auto="1"/>
      </left>
      <right/>
      <top/>
      <bottom style="hair">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s>
  <cellStyleXfs count="3">
    <xf numFmtId="0" fontId="0" fillId="0" borderId="0"/>
    <xf numFmtId="0" fontId="2" fillId="0" borderId="0" applyNumberFormat="0" applyFill="0" applyBorder="0" applyAlignment="0" applyProtection="0"/>
    <xf numFmtId="164" fontId="7" fillId="0" borderId="0" applyFont="0" applyFill="0" applyBorder="0" applyAlignment="0" applyProtection="0"/>
  </cellStyleXfs>
  <cellXfs count="114">
    <xf numFmtId="0" fontId="0" fillId="0" borderId="0" xfId="0"/>
    <xf numFmtId="0" fontId="0" fillId="0" borderId="0" xfId="0" applyAlignment="1">
      <alignment horizontal="center"/>
    </xf>
    <xf numFmtId="0" fontId="0" fillId="0" borderId="0" xfId="0" applyAlignment="1">
      <alignment textRotation="90"/>
    </xf>
    <xf numFmtId="14" fontId="0" fillId="0" borderId="0" xfId="0" applyNumberFormat="1"/>
    <xf numFmtId="49" fontId="0" fillId="2" borderId="3" xfId="0" applyNumberFormat="1" applyFill="1" applyBorder="1" applyAlignment="1">
      <alignment wrapText="1"/>
    </xf>
    <xf numFmtId="0" fontId="0" fillId="0" borderId="0" xfId="0" applyAlignment="1">
      <alignment vertical="top"/>
    </xf>
    <xf numFmtId="0" fontId="0" fillId="0" borderId="1" xfId="0" applyBorder="1" applyAlignment="1">
      <alignment horizontal="center" vertical="top"/>
    </xf>
    <xf numFmtId="49" fontId="0" fillId="0" borderId="0" xfId="0" applyNumberFormat="1" applyAlignment="1">
      <alignment wrapText="1"/>
    </xf>
    <xf numFmtId="0" fontId="0" fillId="4" borderId="3" xfId="0" applyNumberFormat="1" applyFill="1" applyBorder="1" applyAlignment="1">
      <alignment horizontal="left" wrapText="1"/>
    </xf>
    <xf numFmtId="0" fontId="0" fillId="0" borderId="0" xfId="0" applyFill="1"/>
    <xf numFmtId="14" fontId="0" fillId="0" borderId="0" xfId="0" applyNumberFormat="1" applyFill="1"/>
    <xf numFmtId="0" fontId="0" fillId="0" borderId="0" xfId="0" applyFill="1" applyBorder="1"/>
    <xf numFmtId="0" fontId="0" fillId="3" borderId="0" xfId="0" applyFill="1"/>
    <xf numFmtId="0" fontId="2" fillId="0" borderId="0" xfId="1"/>
    <xf numFmtId="0" fontId="4" fillId="0" borderId="0" xfId="0" applyFont="1"/>
    <xf numFmtId="0" fontId="0" fillId="0" borderId="4" xfId="0" applyBorder="1" applyAlignment="1">
      <alignment horizontal="center" vertical="center"/>
    </xf>
    <xf numFmtId="0" fontId="0" fillId="0" borderId="4" xfId="0" applyBorder="1" applyAlignment="1">
      <alignment horizontal="center"/>
    </xf>
    <xf numFmtId="3" fontId="0" fillId="0" borderId="4" xfId="0" applyNumberFormat="1" applyFill="1" applyBorder="1" applyAlignment="1">
      <alignment horizontal="center"/>
    </xf>
    <xf numFmtId="2" fontId="0" fillId="0" borderId="0" xfId="0" applyNumberFormat="1"/>
    <xf numFmtId="3" fontId="0" fillId="0" borderId="0" xfId="0" applyNumberFormat="1"/>
    <xf numFmtId="0" fontId="0" fillId="7" borderId="5" xfId="0" applyFill="1" applyBorder="1"/>
    <xf numFmtId="0" fontId="3" fillId="7" borderId="6" xfId="0" applyFont="1" applyFill="1" applyBorder="1" applyAlignment="1">
      <alignment horizontal="right"/>
    </xf>
    <xf numFmtId="0" fontId="0" fillId="0" borderId="4" xfId="0" applyBorder="1" applyAlignment="1">
      <alignment vertical="center" wrapText="1"/>
    </xf>
    <xf numFmtId="0" fontId="0" fillId="0" borderId="4" xfId="0" applyBorder="1" applyAlignment="1">
      <alignment vertical="center"/>
    </xf>
    <xf numFmtId="49" fontId="0" fillId="0" borderId="0" xfId="0" applyNumberFormat="1"/>
    <xf numFmtId="0" fontId="3" fillId="0" borderId="0" xfId="0" applyFont="1"/>
    <xf numFmtId="3" fontId="0" fillId="0" borderId="4" xfId="0" applyNumberFormat="1" applyFill="1" applyBorder="1" applyAlignment="1">
      <alignment horizontal="center" vertical="center"/>
    </xf>
    <xf numFmtId="49" fontId="0" fillId="2" borderId="3" xfId="0" applyNumberFormat="1" applyFill="1" applyBorder="1" applyAlignment="1">
      <alignment vertical="top" wrapText="1"/>
    </xf>
    <xf numFmtId="165" fontId="0" fillId="0" borderId="4" xfId="0" applyNumberFormat="1" applyBorder="1" applyAlignment="1">
      <alignment vertical="center"/>
    </xf>
    <xf numFmtId="165" fontId="0" fillId="0" borderId="4" xfId="0" applyNumberFormat="1" applyBorder="1"/>
    <xf numFmtId="165" fontId="3" fillId="7" borderId="7" xfId="0" applyNumberFormat="1" applyFont="1" applyFill="1" applyBorder="1" applyAlignment="1">
      <alignment horizontal="right"/>
    </xf>
    <xf numFmtId="3" fontId="3" fillId="7" borderId="7" xfId="0" applyNumberFormat="1" applyFont="1" applyFill="1" applyBorder="1"/>
    <xf numFmtId="3" fontId="0" fillId="0" borderId="4" xfId="0" applyNumberFormat="1" applyBorder="1" applyAlignment="1">
      <alignment vertical="center"/>
    </xf>
    <xf numFmtId="3" fontId="0" fillId="0" borderId="4" xfId="0" applyNumberFormat="1" applyBorder="1"/>
    <xf numFmtId="0" fontId="3" fillId="6" borderId="4" xfId="0" applyFont="1" applyFill="1" applyBorder="1" applyAlignment="1">
      <alignment horizontal="center" vertical="top"/>
    </xf>
    <xf numFmtId="0" fontId="3" fillId="6" borderId="4" xfId="0" applyFont="1" applyFill="1" applyBorder="1" applyAlignment="1">
      <alignment horizontal="center" vertical="top" wrapText="1"/>
    </xf>
    <xf numFmtId="0" fontId="1" fillId="0" borderId="2" xfId="0" applyFont="1" applyFill="1" applyBorder="1" applyAlignment="1">
      <alignment vertical="top"/>
    </xf>
    <xf numFmtId="0" fontId="1" fillId="0" borderId="3" xfId="0" applyNumberFormat="1" applyFont="1" applyFill="1" applyBorder="1" applyAlignment="1">
      <alignment wrapText="1"/>
    </xf>
    <xf numFmtId="49" fontId="1" fillId="0" borderId="3" xfId="0" applyNumberFormat="1" applyFont="1" applyFill="1" applyBorder="1" applyAlignment="1">
      <alignment wrapText="1"/>
    </xf>
    <xf numFmtId="49" fontId="1" fillId="0" borderId="0" xfId="0" applyNumberFormat="1" applyFont="1" applyFill="1" applyAlignment="1">
      <alignment wrapText="1"/>
    </xf>
    <xf numFmtId="0" fontId="1" fillId="0" borderId="3" xfId="0" applyNumberFormat="1" applyFont="1" applyFill="1" applyBorder="1" applyAlignment="1">
      <alignment horizontal="left" wrapText="1"/>
    </xf>
    <xf numFmtId="49" fontId="5" fillId="0" borderId="3" xfId="0" applyNumberFormat="1" applyFont="1" applyFill="1" applyBorder="1" applyAlignment="1">
      <alignment wrapText="1"/>
    </xf>
    <xf numFmtId="49" fontId="5" fillId="0" borderId="3" xfId="0" applyNumberFormat="1" applyFont="1" applyFill="1" applyBorder="1" applyAlignment="1">
      <alignment horizontal="left" wrapText="1"/>
    </xf>
    <xf numFmtId="49" fontId="6" fillId="0" borderId="3" xfId="1" applyNumberFormat="1" applyFont="1" applyFill="1" applyBorder="1" applyAlignment="1">
      <alignment wrapText="1"/>
    </xf>
    <xf numFmtId="0" fontId="1" fillId="0" borderId="2" xfId="0" applyFont="1" applyFill="1" applyBorder="1" applyAlignment="1">
      <alignment vertical="top" wrapText="1"/>
    </xf>
    <xf numFmtId="49" fontId="1" fillId="0" borderId="3" xfId="0" applyNumberFormat="1" applyFont="1" applyFill="1" applyBorder="1" applyAlignment="1">
      <alignment horizontal="left" vertical="top" wrapText="1"/>
    </xf>
    <xf numFmtId="0" fontId="3" fillId="0" borderId="4" xfId="0" applyFont="1" applyBorder="1" applyAlignment="1">
      <alignment vertical="center"/>
    </xf>
    <xf numFmtId="0" fontId="3" fillId="0" borderId="4" xfId="0" applyFont="1" applyFill="1" applyBorder="1" applyAlignment="1">
      <alignment horizontal="center" vertical="center"/>
    </xf>
    <xf numFmtId="0" fontId="0" fillId="5" borderId="4" xfId="0" applyFill="1" applyBorder="1" applyAlignment="1">
      <alignment vertical="center"/>
    </xf>
    <xf numFmtId="0" fontId="0" fillId="5" borderId="4" xfId="0" applyNumberFormat="1" applyFill="1" applyBorder="1" applyAlignment="1">
      <alignment vertical="center"/>
    </xf>
    <xf numFmtId="0" fontId="0" fillId="5" borderId="4" xfId="0" applyFill="1" applyBorder="1" applyAlignment="1">
      <alignment horizontal="center" vertical="center"/>
    </xf>
    <xf numFmtId="0" fontId="3" fillId="0" borderId="4" xfId="0" applyFont="1" applyFill="1" applyBorder="1" applyAlignment="1">
      <alignment vertical="center"/>
    </xf>
    <xf numFmtId="0" fontId="0" fillId="0" borderId="0" xfId="0" applyFill="1" applyBorder="1" applyAlignment="1">
      <alignment vertical="center"/>
    </xf>
    <xf numFmtId="0" fontId="0" fillId="0" borderId="0" xfId="0" applyAlignment="1">
      <alignment vertical="center"/>
    </xf>
    <xf numFmtId="0" fontId="0" fillId="3" borderId="4" xfId="0" applyFill="1" applyBorder="1" applyAlignment="1">
      <alignment vertical="center"/>
    </xf>
    <xf numFmtId="0" fontId="2" fillId="3" borderId="4" xfId="1" applyFill="1" applyBorder="1" applyAlignment="1">
      <alignment vertical="center" wrapText="1"/>
    </xf>
    <xf numFmtId="0" fontId="2" fillId="3" borderId="4" xfId="1" applyFill="1" applyBorder="1" applyAlignment="1">
      <alignment vertical="center"/>
    </xf>
    <xf numFmtId="0" fontId="0" fillId="0" borderId="0" xfId="0" applyFill="1" applyAlignment="1">
      <alignment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0" xfId="0" applyBorder="1" applyAlignment="1">
      <alignment vertical="center"/>
    </xf>
    <xf numFmtId="0" fontId="0" fillId="5" borderId="4" xfId="0" applyFill="1" applyBorder="1" applyAlignment="1">
      <alignment horizontal="left" vertical="center"/>
    </xf>
    <xf numFmtId="0" fontId="0" fillId="0" borderId="0" xfId="0" applyAlignment="1">
      <alignment horizontal="right" vertical="top"/>
    </xf>
    <xf numFmtId="0" fontId="0" fillId="8" borderId="4" xfId="0" applyNumberFormat="1" applyFill="1" applyBorder="1" applyAlignment="1">
      <alignment vertical="center" wrapText="1"/>
    </xf>
    <xf numFmtId="49" fontId="0" fillId="0" borderId="9" xfId="0" applyNumberFormat="1" applyFill="1" applyBorder="1" applyAlignment="1">
      <alignment vertical="center" wrapText="1"/>
    </xf>
    <xf numFmtId="49" fontId="0" fillId="3" borderId="4" xfId="0" applyNumberFormat="1" applyFill="1" applyBorder="1" applyAlignment="1">
      <alignment vertical="center" wrapText="1"/>
    </xf>
    <xf numFmtId="0" fontId="0" fillId="0" borderId="10" xfId="0" applyBorder="1" applyAlignment="1">
      <alignment vertical="center"/>
    </xf>
    <xf numFmtId="0" fontId="0" fillId="0" borderId="4" xfId="0" applyNumberFormat="1" applyFill="1" applyBorder="1" applyAlignment="1">
      <alignment vertical="center" wrapText="1"/>
    </xf>
    <xf numFmtId="0" fontId="0" fillId="0" borderId="0" xfId="0" applyBorder="1" applyAlignment="1">
      <alignment vertical="top"/>
    </xf>
    <xf numFmtId="14" fontId="0" fillId="0" borderId="3" xfId="0" applyNumberFormat="1" applyFill="1" applyBorder="1" applyAlignment="1">
      <alignment horizontal="left" wrapText="1"/>
    </xf>
    <xf numFmtId="14" fontId="0" fillId="3" borderId="4" xfId="0" applyNumberFormat="1" applyFill="1" applyBorder="1" applyAlignment="1">
      <alignment horizontal="left" vertical="center" wrapText="1"/>
    </xf>
    <xf numFmtId="0" fontId="0" fillId="0" borderId="0" xfId="0" applyNumberFormat="1" applyFill="1" applyBorder="1" applyAlignment="1">
      <alignment horizontal="left" wrapText="1"/>
    </xf>
    <xf numFmtId="49" fontId="0" fillId="3" borderId="4" xfId="0" applyNumberFormat="1" applyFill="1" applyBorder="1" applyAlignment="1">
      <alignment vertical="top" wrapText="1"/>
    </xf>
    <xf numFmtId="14" fontId="0" fillId="0" borderId="3" xfId="0" applyNumberFormat="1" applyFill="1" applyBorder="1" applyAlignment="1">
      <alignment horizontal="left" vertical="top" wrapText="1"/>
    </xf>
    <xf numFmtId="14" fontId="0" fillId="0" borderId="0" xfId="0" applyNumberFormat="1" applyFill="1" applyBorder="1" applyAlignment="1">
      <alignment horizontal="left" wrapText="1"/>
    </xf>
    <xf numFmtId="14" fontId="0" fillId="3" borderId="0" xfId="0" applyNumberFormat="1" applyFill="1" applyAlignment="1">
      <alignment horizontal="left"/>
    </xf>
    <xf numFmtId="0" fontId="0" fillId="0" borderId="12" xfId="0" applyFill="1" applyBorder="1" applyAlignment="1">
      <alignment vertical="top"/>
    </xf>
    <xf numFmtId="0" fontId="0" fillId="0" borderId="8" xfId="0" applyBorder="1" applyAlignment="1">
      <alignment horizontal="center" vertical="top"/>
    </xf>
    <xf numFmtId="0" fontId="0" fillId="0" borderId="13" xfId="0" applyBorder="1" applyAlignment="1">
      <alignment vertical="top"/>
    </xf>
    <xf numFmtId="0" fontId="0" fillId="0" borderId="14" xfId="0" applyFill="1" applyBorder="1" applyAlignment="1">
      <alignment horizontal="center" vertical="top"/>
    </xf>
    <xf numFmtId="0" fontId="0" fillId="0" borderId="15" xfId="0" applyFill="1" applyBorder="1" applyAlignment="1">
      <alignment vertical="top"/>
    </xf>
    <xf numFmtId="0" fontId="0" fillId="0" borderId="11" xfId="0" applyBorder="1" applyAlignment="1">
      <alignment horizontal="center" vertical="top"/>
    </xf>
    <xf numFmtId="0" fontId="0" fillId="0" borderId="12" xfId="0" applyBorder="1" applyAlignment="1">
      <alignment vertical="top"/>
    </xf>
    <xf numFmtId="0" fontId="0" fillId="0" borderId="16" xfId="0" applyBorder="1" applyAlignment="1">
      <alignment horizontal="center" vertical="top"/>
    </xf>
    <xf numFmtId="0" fontId="0" fillId="0" borderId="17" xfId="0" applyBorder="1" applyAlignment="1">
      <alignment vertical="top"/>
    </xf>
    <xf numFmtId="0" fontId="0" fillId="4" borderId="18" xfId="0" applyNumberFormat="1" applyFill="1" applyBorder="1" applyAlignment="1">
      <alignment horizontal="left" wrapText="1"/>
    </xf>
    <xf numFmtId="0" fontId="0" fillId="0" borderId="19" xfId="0" applyBorder="1" applyAlignment="1">
      <alignment vertical="top"/>
    </xf>
    <xf numFmtId="0" fontId="0" fillId="0" borderId="13" xfId="0" applyFill="1" applyBorder="1" applyAlignment="1">
      <alignment vertical="top"/>
    </xf>
    <xf numFmtId="0" fontId="0" fillId="0" borderId="14" xfId="0" applyBorder="1" applyAlignment="1">
      <alignment horizontal="center" vertical="top"/>
    </xf>
    <xf numFmtId="0" fontId="0" fillId="0" borderId="13" xfId="0" applyBorder="1" applyAlignment="1">
      <alignment vertical="center"/>
    </xf>
    <xf numFmtId="14" fontId="0" fillId="0" borderId="17" xfId="0" applyNumberFormat="1" applyFill="1" applyBorder="1" applyAlignment="1">
      <alignment horizontal="left" wrapText="1"/>
    </xf>
    <xf numFmtId="49" fontId="0" fillId="2" borderId="4" xfId="0" applyNumberFormat="1" applyFill="1" applyBorder="1" applyAlignment="1">
      <alignment vertical="top" wrapText="1"/>
    </xf>
    <xf numFmtId="14" fontId="0" fillId="0" borderId="20" xfId="0" applyNumberFormat="1" applyFill="1" applyBorder="1" applyAlignment="1">
      <alignment horizontal="left" wrapText="1"/>
    </xf>
    <xf numFmtId="49" fontId="0" fillId="2" borderId="4" xfId="0" applyNumberFormat="1" applyFill="1" applyBorder="1" applyAlignment="1">
      <alignment wrapText="1"/>
    </xf>
    <xf numFmtId="14" fontId="0" fillId="0" borderId="9" xfId="0" applyNumberFormat="1" applyFill="1" applyBorder="1" applyAlignment="1">
      <alignment horizontal="left" wrapText="1"/>
    </xf>
    <xf numFmtId="49" fontId="0" fillId="3" borderId="21" xfId="0" applyNumberFormat="1" applyFill="1" applyBorder="1" applyAlignment="1">
      <alignment wrapText="1"/>
    </xf>
    <xf numFmtId="0" fontId="0" fillId="2" borderId="22" xfId="0" applyNumberFormat="1" applyFill="1" applyBorder="1" applyAlignment="1">
      <alignment wrapText="1"/>
    </xf>
    <xf numFmtId="0" fontId="0" fillId="4" borderId="4" xfId="0" applyNumberFormat="1" applyFill="1" applyBorder="1" applyAlignment="1">
      <alignment horizontal="left" wrapText="1"/>
    </xf>
    <xf numFmtId="1" fontId="0" fillId="2" borderId="4" xfId="0" applyNumberFormat="1" applyFill="1" applyBorder="1" applyAlignment="1">
      <alignment horizontal="left" wrapText="1"/>
    </xf>
    <xf numFmtId="49" fontId="0" fillId="3" borderId="4" xfId="0" applyNumberFormat="1" applyFill="1" applyBorder="1" applyAlignment="1">
      <alignment wrapText="1"/>
    </xf>
    <xf numFmtId="0" fontId="0" fillId="3" borderId="4" xfId="0" applyNumberFormat="1" applyFill="1" applyBorder="1" applyAlignment="1">
      <alignment wrapText="1"/>
    </xf>
    <xf numFmtId="14" fontId="0" fillId="3" borderId="4" xfId="0" applyNumberFormat="1" applyFill="1" applyBorder="1" applyAlignment="1">
      <alignment horizontal="left"/>
    </xf>
    <xf numFmtId="0" fontId="0" fillId="4" borderId="4" xfId="0" applyNumberFormat="1" applyFill="1" applyBorder="1" applyAlignment="1">
      <alignment wrapText="1"/>
    </xf>
    <xf numFmtId="14" fontId="0" fillId="4" borderId="4" xfId="0" applyNumberFormat="1" applyFill="1" applyBorder="1" applyAlignment="1">
      <alignment horizontal="left"/>
    </xf>
    <xf numFmtId="49" fontId="2" fillId="2" borderId="4" xfId="1" applyNumberFormat="1" applyFill="1" applyBorder="1" applyAlignment="1">
      <alignment wrapText="1"/>
    </xf>
    <xf numFmtId="0" fontId="0" fillId="2" borderId="4" xfId="0" applyNumberFormat="1" applyFill="1" applyBorder="1" applyAlignment="1">
      <alignment wrapText="1"/>
    </xf>
    <xf numFmtId="0" fontId="0" fillId="0" borderId="0" xfId="0" applyFill="1" applyAlignment="1">
      <alignment wrapText="1"/>
    </xf>
    <xf numFmtId="0" fontId="0" fillId="0" borderId="0" xfId="2" applyNumberFormat="1" applyFont="1" applyAlignment="1">
      <alignment textRotation="90"/>
    </xf>
    <xf numFmtId="0" fontId="0" fillId="0" borderId="9" xfId="0" applyNumberFormat="1" applyFill="1" applyBorder="1" applyAlignment="1">
      <alignment horizontal="left" wrapText="1"/>
    </xf>
    <xf numFmtId="0" fontId="0" fillId="3" borderId="4" xfId="0" applyFill="1" applyBorder="1"/>
    <xf numFmtId="0" fontId="8" fillId="0" borderId="0" xfId="0" applyFont="1" applyAlignment="1">
      <alignment horizontal="right" vertical="top"/>
    </xf>
    <xf numFmtId="0" fontId="8" fillId="0" borderId="13" xfId="0" applyFont="1" applyFill="1" applyBorder="1" applyAlignment="1">
      <alignment vertical="top"/>
    </xf>
    <xf numFmtId="49" fontId="8" fillId="0" borderId="4" xfId="0" applyNumberFormat="1" applyFont="1" applyFill="1" applyBorder="1" applyAlignment="1">
      <alignment wrapText="1"/>
    </xf>
    <xf numFmtId="49" fontId="8" fillId="3" borderId="4" xfId="0" applyNumberFormat="1" applyFont="1" applyFill="1" applyBorder="1" applyAlignment="1">
      <alignment wrapText="1"/>
    </xf>
  </cellXfs>
  <cellStyles count="3">
    <cellStyle name="Hipervínculo" xfId="1" builtinId="8"/>
    <cellStyle name="Millares [0]" xfId="2" builtinId="6"/>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michaelleyton/Documents/D:/Volumes/CONTENEDOR/Casa/20160203/SC-252%20Carlos%20Lagos%202016/E:/5.%20Informes/Status%20Contratos/Status%20Teck/Status%20Contratos%20Tec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214 C.Toro"/>
      <sheetName val="CA-SC207-009"/>
    </sheetNames>
    <sheetDataSet>
      <sheetData sheetId="0" refreshError="1"/>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Michael.leyton@nuevaunion.cl" TargetMode="External"/><Relationship Id="rId4" Type="http://schemas.openxmlformats.org/officeDocument/2006/relationships/hyperlink" Target="mailto:Klaus.Heppe@teck.com" TargetMode="External"/><Relationship Id="rId5" Type="http://schemas.openxmlformats.org/officeDocument/2006/relationships/hyperlink" Target="mailto:julio.retamal@nuevaunion.cl" TargetMode="External"/><Relationship Id="rId6" Type="http://schemas.openxmlformats.org/officeDocument/2006/relationships/hyperlink" Target="mailto:Sandra.moreira@nuevaunion.cl" TargetMode="External"/><Relationship Id="rId7" Type="http://schemas.openxmlformats.org/officeDocument/2006/relationships/hyperlink" Target="mailto:walter.droppelmann@nuevaunion.cl" TargetMode="External"/><Relationship Id="rId8" Type="http://schemas.openxmlformats.org/officeDocument/2006/relationships/hyperlink" Target="mailto:cristian.garcia@teck.com" TargetMode="External"/><Relationship Id="rId9" Type="http://schemas.openxmlformats.org/officeDocument/2006/relationships/hyperlink" Target="mailto:jaime.marin@nuevaunion.cl" TargetMode="External"/><Relationship Id="rId10" Type="http://schemas.openxmlformats.org/officeDocument/2006/relationships/printerSettings" Target="../printerSettings/printerSettings1.bin"/><Relationship Id="rId1" Type="http://schemas.openxmlformats.org/officeDocument/2006/relationships/hyperlink" Target="mailto:julio.retamal@nuevaunion.cl" TargetMode="External"/><Relationship Id="rId2" Type="http://schemas.openxmlformats.org/officeDocument/2006/relationships/hyperlink" Target="mailto:Sandra.moreira@nuevaunion.c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2:Q136"/>
  <sheetViews>
    <sheetView tabSelected="1" zoomScale="70" zoomScaleNormal="70" zoomScalePageLayoutView="70" workbookViewId="0">
      <selection activeCell="D135" sqref="A1:D135"/>
    </sheetView>
  </sheetViews>
  <sheetFormatPr baseColWidth="10" defaultRowHeight="15" x14ac:dyDescent="0.2"/>
  <cols>
    <col min="1" max="1" width="25.1640625" customWidth="1"/>
    <col min="2" max="2" width="10.1640625" style="1" customWidth="1"/>
    <col min="3" max="3" width="40.1640625" style="5" customWidth="1"/>
    <col min="4" max="4" width="84.83203125" style="7" customWidth="1"/>
    <col min="5" max="5" width="17.83203125" customWidth="1"/>
    <col min="6" max="8" width="7.5" style="9" customWidth="1"/>
    <col min="9" max="10" width="3.33203125" style="9" customWidth="1"/>
    <col min="11" max="12" width="25.6640625" customWidth="1"/>
    <col min="13" max="13" width="40.6640625" customWidth="1"/>
    <col min="14" max="17" width="25.6640625" customWidth="1"/>
  </cols>
  <sheetData>
    <row r="2" spans="1:17" x14ac:dyDescent="0.2">
      <c r="K2" s="46" t="s">
        <v>229</v>
      </c>
      <c r="L2" s="46" t="s">
        <v>207</v>
      </c>
      <c r="M2" s="47" t="s">
        <v>237</v>
      </c>
      <c r="N2" s="47" t="s">
        <v>238</v>
      </c>
      <c r="O2" s="47" t="s">
        <v>239</v>
      </c>
      <c r="P2" s="47" t="s">
        <v>240</v>
      </c>
      <c r="Q2" s="47" t="s">
        <v>241</v>
      </c>
    </row>
    <row r="3" spans="1:17" x14ac:dyDescent="0.2">
      <c r="A3" s="57" t="s">
        <v>229</v>
      </c>
      <c r="B3" s="58" t="s">
        <v>230</v>
      </c>
      <c r="C3" s="66" t="s">
        <v>229</v>
      </c>
      <c r="D3" s="65" t="s">
        <v>231</v>
      </c>
      <c r="K3" s="48" t="s">
        <v>231</v>
      </c>
      <c r="L3" s="49" t="s">
        <v>242</v>
      </c>
      <c r="M3" s="50" t="s">
        <v>243</v>
      </c>
      <c r="N3" s="61" t="s">
        <v>244</v>
      </c>
      <c r="O3" s="61" t="s">
        <v>245</v>
      </c>
      <c r="P3" s="61" t="s">
        <v>246</v>
      </c>
      <c r="Q3" s="61" t="s">
        <v>247</v>
      </c>
    </row>
    <row r="4" spans="1:17" x14ac:dyDescent="0.2">
      <c r="A4" s="57"/>
      <c r="B4" s="59"/>
      <c r="C4" s="60"/>
      <c r="D4" s="60"/>
      <c r="K4" s="48" t="s">
        <v>248</v>
      </c>
      <c r="L4" s="49" t="s">
        <v>249</v>
      </c>
      <c r="M4" s="61" t="s">
        <v>250</v>
      </c>
      <c r="N4" s="61" t="s">
        <v>251</v>
      </c>
      <c r="O4" s="61" t="s">
        <v>252</v>
      </c>
      <c r="P4" s="61" t="s">
        <v>253</v>
      </c>
      <c r="Q4" s="61" t="s">
        <v>254</v>
      </c>
    </row>
    <row r="5" spans="1:17" x14ac:dyDescent="0.2">
      <c r="A5" s="57"/>
      <c r="B5" s="58" t="s">
        <v>232</v>
      </c>
      <c r="C5" s="66" t="s">
        <v>233</v>
      </c>
      <c r="D5" s="63" t="str">
        <f>VLOOKUP($D$3,$K$3:$Q$4,2,0)</f>
        <v>78.840.880-3</v>
      </c>
    </row>
    <row r="6" spans="1:17" x14ac:dyDescent="0.2">
      <c r="A6" s="57"/>
      <c r="B6" s="59"/>
      <c r="C6" s="60"/>
      <c r="D6" s="60"/>
    </row>
    <row r="7" spans="1:17" x14ac:dyDescent="0.2">
      <c r="A7" s="57"/>
      <c r="B7" s="58" t="s">
        <v>234</v>
      </c>
      <c r="C7" s="66" t="s">
        <v>235</v>
      </c>
      <c r="D7" s="63" t="str">
        <f>VLOOKUP($D$3,$K$3:$Q$4,3,0)</f>
        <v>Brasil N°308, Vallenar</v>
      </c>
    </row>
    <row r="8" spans="1:17" x14ac:dyDescent="0.2">
      <c r="A8" s="57"/>
      <c r="B8" s="59"/>
      <c r="C8" s="60"/>
      <c r="D8" s="60"/>
    </row>
    <row r="9" spans="1:17" x14ac:dyDescent="0.2">
      <c r="A9" s="57"/>
      <c r="B9" s="58" t="s">
        <v>236</v>
      </c>
      <c r="C9" s="66" t="s">
        <v>239</v>
      </c>
      <c r="D9" s="63" t="str">
        <f>VLOOKUP($D$3,$K$3:$Q$4,5,0)</f>
        <v xml:space="preserve">Extracción de minerales </v>
      </c>
    </row>
    <row r="11" spans="1:17" x14ac:dyDescent="0.2">
      <c r="C11" s="62" t="s">
        <v>255</v>
      </c>
      <c r="D11" s="67" t="s">
        <v>199</v>
      </c>
    </row>
    <row r="12" spans="1:17" x14ac:dyDescent="0.2">
      <c r="A12" t="s">
        <v>12</v>
      </c>
      <c r="B12" s="77" t="s">
        <v>13</v>
      </c>
      <c r="C12" s="78" t="s">
        <v>151</v>
      </c>
      <c r="D12" s="65" t="s">
        <v>259</v>
      </c>
      <c r="K12" s="46" t="s">
        <v>206</v>
      </c>
      <c r="L12" s="46" t="s">
        <v>207</v>
      </c>
      <c r="M12" s="47" t="s">
        <v>208</v>
      </c>
      <c r="O12" s="46" t="s">
        <v>213</v>
      </c>
      <c r="P12" s="46" t="s">
        <v>214</v>
      </c>
      <c r="Q12" s="46" t="s">
        <v>215</v>
      </c>
    </row>
    <row r="13" spans="1:17" x14ac:dyDescent="0.2">
      <c r="A13" s="9"/>
      <c r="B13" s="79"/>
      <c r="C13" s="80"/>
      <c r="D13" s="64"/>
      <c r="K13" s="48" t="s">
        <v>80</v>
      </c>
      <c r="L13" s="49" t="s">
        <v>209</v>
      </c>
      <c r="M13" s="50" t="s">
        <v>210</v>
      </c>
      <c r="O13" s="48" t="s">
        <v>122</v>
      </c>
      <c r="P13" s="48" t="s">
        <v>123</v>
      </c>
      <c r="Q13" s="48" t="s">
        <v>124</v>
      </c>
    </row>
    <row r="14" spans="1:17" x14ac:dyDescent="0.2">
      <c r="B14" s="77" t="s">
        <v>14</v>
      </c>
      <c r="C14" s="78" t="s">
        <v>152</v>
      </c>
      <c r="D14" s="65" t="s">
        <v>260</v>
      </c>
      <c r="K14" s="48" t="s">
        <v>117</v>
      </c>
      <c r="L14" s="49" t="s">
        <v>118</v>
      </c>
      <c r="M14" s="50" t="s">
        <v>210</v>
      </c>
      <c r="O14" s="48" t="s">
        <v>85</v>
      </c>
      <c r="P14" s="48" t="s">
        <v>125</v>
      </c>
      <c r="Q14" s="48" t="s">
        <v>126</v>
      </c>
    </row>
    <row r="15" spans="1:17" x14ac:dyDescent="0.2">
      <c r="B15" s="81"/>
      <c r="C15" s="82"/>
      <c r="D15" s="27"/>
      <c r="K15" s="48" t="s">
        <v>120</v>
      </c>
      <c r="L15" s="48" t="s">
        <v>119</v>
      </c>
      <c r="M15" s="50" t="s">
        <v>210</v>
      </c>
      <c r="O15" s="48" t="s">
        <v>133</v>
      </c>
      <c r="P15" s="48" t="s">
        <v>127</v>
      </c>
      <c r="Q15" s="48" t="s">
        <v>128</v>
      </c>
    </row>
    <row r="16" spans="1:17" x14ac:dyDescent="0.2">
      <c r="B16" s="6"/>
      <c r="C16" s="62" t="s">
        <v>255</v>
      </c>
      <c r="D16" s="67" t="s">
        <v>257</v>
      </c>
      <c r="K16" s="48" t="s">
        <v>108</v>
      </c>
      <c r="L16" s="49" t="s">
        <v>112</v>
      </c>
      <c r="M16" s="50" t="s">
        <v>211</v>
      </c>
      <c r="O16" s="48" t="s">
        <v>134</v>
      </c>
      <c r="P16" s="48" t="s">
        <v>129</v>
      </c>
      <c r="Q16" s="48" t="s">
        <v>130</v>
      </c>
    </row>
    <row r="17" spans="2:17" x14ac:dyDescent="0.2">
      <c r="B17" s="83"/>
      <c r="C17" s="84"/>
      <c r="D17" s="65" t="s">
        <v>339</v>
      </c>
      <c r="K17" s="48" t="s">
        <v>109</v>
      </c>
      <c r="L17" s="49" t="s">
        <v>113</v>
      </c>
      <c r="M17" s="50" t="s">
        <v>211</v>
      </c>
      <c r="O17" s="48" t="s">
        <v>135</v>
      </c>
      <c r="P17" s="48" t="s">
        <v>131</v>
      </c>
      <c r="Q17" s="48" t="s">
        <v>132</v>
      </c>
    </row>
    <row r="18" spans="2:17" x14ac:dyDescent="0.2">
      <c r="B18" s="77" t="s">
        <v>15</v>
      </c>
      <c r="C18" s="78" t="s">
        <v>153</v>
      </c>
      <c r="D18" s="63" t="str">
        <f>CONCATENATE("DK-",D17,"-",YEAR(D21)-2000)</f>
        <v>DK-0005-17</v>
      </c>
      <c r="F18" s="10"/>
      <c r="G18" s="10"/>
      <c r="H18" s="10"/>
      <c r="I18" s="10"/>
      <c r="J18" s="10"/>
      <c r="K18" s="48" t="s">
        <v>90</v>
      </c>
      <c r="L18" s="49" t="s">
        <v>91</v>
      </c>
      <c r="M18" s="50" t="s">
        <v>211</v>
      </c>
      <c r="O18" s="48"/>
      <c r="P18" s="48"/>
      <c r="Q18" s="48"/>
    </row>
    <row r="19" spans="2:17" x14ac:dyDescent="0.2">
      <c r="B19" s="81"/>
      <c r="C19" s="68"/>
      <c r="D19" s="8"/>
      <c r="F19" s="10"/>
      <c r="G19" s="10"/>
      <c r="H19" s="10"/>
      <c r="I19" s="10"/>
      <c r="J19" s="10"/>
      <c r="K19" s="48" t="s">
        <v>110</v>
      </c>
      <c r="L19" s="49" t="s">
        <v>114</v>
      </c>
      <c r="M19" s="50" t="s">
        <v>211</v>
      </c>
      <c r="O19" s="48"/>
      <c r="P19" s="48"/>
      <c r="Q19" s="48"/>
    </row>
    <row r="20" spans="2:17" x14ac:dyDescent="0.2">
      <c r="B20" s="6"/>
      <c r="C20" s="62" t="s">
        <v>255</v>
      </c>
      <c r="D20" s="69">
        <v>42746</v>
      </c>
      <c r="F20" s="10"/>
      <c r="G20" s="10"/>
      <c r="H20" s="10"/>
      <c r="I20" s="10"/>
      <c r="J20" s="10"/>
      <c r="K20" s="48" t="s">
        <v>111</v>
      </c>
      <c r="L20" s="49" t="s">
        <v>115</v>
      </c>
      <c r="M20" s="50" t="s">
        <v>211</v>
      </c>
      <c r="N20" s="11"/>
      <c r="O20" s="48"/>
      <c r="P20" s="48"/>
      <c r="Q20" s="48"/>
    </row>
    <row r="21" spans="2:17" x14ac:dyDescent="0.2">
      <c r="B21" s="83"/>
      <c r="C21" s="86"/>
      <c r="D21" s="70">
        <v>42760</v>
      </c>
      <c r="F21" s="10"/>
      <c r="G21" s="10"/>
      <c r="H21" s="10"/>
      <c r="I21" s="10"/>
      <c r="J21" s="10"/>
      <c r="K21" s="48" t="s">
        <v>212</v>
      </c>
      <c r="L21" s="49" t="s">
        <v>116</v>
      </c>
      <c r="M21" s="50" t="s">
        <v>211</v>
      </c>
      <c r="O21" s="48"/>
      <c r="P21" s="48"/>
      <c r="Q21" s="48"/>
    </row>
    <row r="22" spans="2:17" x14ac:dyDescent="0.2">
      <c r="B22" s="77" t="s">
        <v>16</v>
      </c>
      <c r="C22" s="78" t="s">
        <v>154</v>
      </c>
      <c r="D22" s="85" t="str">
        <f>CONCATENATE(TEXT(D21,"dd")," de ", TEXT(D21,"mmmm")," de ",TEXT(D21,"yyyy"))</f>
        <v>25 de enero de 2017</v>
      </c>
      <c r="K22" s="48"/>
      <c r="L22" s="49"/>
      <c r="M22" s="48"/>
      <c r="O22" s="48"/>
      <c r="P22" s="48"/>
      <c r="Q22" s="48"/>
    </row>
    <row r="23" spans="2:17" x14ac:dyDescent="0.2">
      <c r="B23" s="81"/>
      <c r="C23" s="82"/>
      <c r="D23" s="71"/>
      <c r="K23" s="48"/>
      <c r="L23" s="49"/>
      <c r="M23" s="48"/>
      <c r="O23" s="48"/>
      <c r="P23" s="48"/>
      <c r="Q23" s="48"/>
    </row>
    <row r="24" spans="2:17" x14ac:dyDescent="0.2">
      <c r="B24" s="83"/>
      <c r="C24" s="62" t="s">
        <v>255</v>
      </c>
      <c r="D24" s="69" t="s">
        <v>196</v>
      </c>
      <c r="K24" s="48"/>
      <c r="L24" s="48"/>
      <c r="M24" s="48"/>
      <c r="O24" s="48"/>
      <c r="P24" s="48"/>
      <c r="Q24" s="48"/>
    </row>
    <row r="25" spans="2:17" x14ac:dyDescent="0.2">
      <c r="B25" s="77" t="s">
        <v>17</v>
      </c>
      <c r="C25" s="78" t="s">
        <v>0</v>
      </c>
      <c r="D25" s="65" t="s">
        <v>261</v>
      </c>
    </row>
    <row r="26" spans="2:17" x14ac:dyDescent="0.2">
      <c r="B26" s="81"/>
      <c r="C26" s="82"/>
      <c r="D26" s="69"/>
    </row>
    <row r="27" spans="2:17" x14ac:dyDescent="0.2">
      <c r="B27" s="83"/>
      <c r="C27" s="62" t="s">
        <v>255</v>
      </c>
      <c r="D27" s="69" t="s">
        <v>195</v>
      </c>
    </row>
    <row r="28" spans="2:17" x14ac:dyDescent="0.2">
      <c r="B28" s="77" t="s">
        <v>18</v>
      </c>
      <c r="C28" s="78" t="s">
        <v>155</v>
      </c>
      <c r="D28" s="65" t="s">
        <v>262</v>
      </c>
    </row>
    <row r="29" spans="2:17" x14ac:dyDescent="0.2">
      <c r="B29" s="81"/>
      <c r="C29" s="82"/>
      <c r="D29" s="4"/>
    </row>
    <row r="30" spans="2:17" x14ac:dyDescent="0.2">
      <c r="B30" s="83"/>
      <c r="C30" s="62" t="s">
        <v>255</v>
      </c>
      <c r="D30" s="69" t="s">
        <v>196</v>
      </c>
    </row>
    <row r="31" spans="2:17" x14ac:dyDescent="0.2">
      <c r="B31" s="77" t="s">
        <v>19</v>
      </c>
      <c r="C31" s="87" t="s">
        <v>256</v>
      </c>
      <c r="D31" s="65" t="s">
        <v>263</v>
      </c>
    </row>
    <row r="32" spans="2:17" x14ac:dyDescent="0.2">
      <c r="B32" s="81"/>
      <c r="C32" s="76"/>
      <c r="D32" s="4"/>
      <c r="L32" s="52"/>
    </row>
    <row r="33" spans="1:13" x14ac:dyDescent="0.2">
      <c r="B33" s="83"/>
      <c r="C33" s="62" t="s">
        <v>255</v>
      </c>
      <c r="D33" s="69" t="s">
        <v>197</v>
      </c>
    </row>
    <row r="34" spans="1:13" x14ac:dyDescent="0.2">
      <c r="B34" s="77" t="s">
        <v>20</v>
      </c>
      <c r="C34" s="78" t="s">
        <v>156</v>
      </c>
      <c r="D34" s="65" t="s">
        <v>264</v>
      </c>
      <c r="L34" s="52"/>
    </row>
    <row r="35" spans="1:13" x14ac:dyDescent="0.2">
      <c r="B35" s="88"/>
      <c r="C35" s="62" t="s">
        <v>255</v>
      </c>
      <c r="D35" s="69" t="s">
        <v>198</v>
      </c>
    </row>
    <row r="36" spans="1:13" x14ac:dyDescent="0.2">
      <c r="B36" s="77" t="s">
        <v>21</v>
      </c>
      <c r="C36" s="78" t="s">
        <v>157</v>
      </c>
      <c r="D36" s="65" t="s">
        <v>198</v>
      </c>
      <c r="L36" s="52"/>
    </row>
    <row r="37" spans="1:13" ht="30.75" customHeight="1" x14ac:dyDescent="0.2">
      <c r="B37" s="88"/>
      <c r="C37" s="62" t="s">
        <v>255</v>
      </c>
      <c r="D37" s="73" t="s">
        <v>200</v>
      </c>
    </row>
    <row r="38" spans="1:13" ht="150" customHeight="1" x14ac:dyDescent="0.2">
      <c r="A38" s="53" t="s">
        <v>147</v>
      </c>
      <c r="B38" s="58" t="s">
        <v>22</v>
      </c>
      <c r="C38" s="89" t="s">
        <v>323</v>
      </c>
      <c r="D38" s="72" t="s">
        <v>324</v>
      </c>
      <c r="F38" s="106"/>
      <c r="L38" s="53"/>
      <c r="M38" s="53"/>
    </row>
    <row r="39" spans="1:13" x14ac:dyDescent="0.2">
      <c r="B39" s="81"/>
      <c r="C39" s="62"/>
      <c r="D39" s="74"/>
    </row>
    <row r="40" spans="1:13" ht="30" x14ac:dyDescent="0.2">
      <c r="B40" s="83"/>
      <c r="C40" s="62" t="s">
        <v>255</v>
      </c>
      <c r="D40" s="90" t="s">
        <v>203</v>
      </c>
    </row>
    <row r="41" spans="1:13" ht="131.25" customHeight="1" x14ac:dyDescent="0.2">
      <c r="A41" s="53" t="s">
        <v>8</v>
      </c>
      <c r="B41" s="58" t="s">
        <v>23</v>
      </c>
      <c r="C41" s="89" t="s">
        <v>158</v>
      </c>
      <c r="D41" s="91" t="s">
        <v>326</v>
      </c>
      <c r="F41" s="106" t="s">
        <v>325</v>
      </c>
      <c r="K41" s="51" t="s">
        <v>216</v>
      </c>
      <c r="L41" s="53"/>
      <c r="M41" s="51" t="s">
        <v>217</v>
      </c>
    </row>
    <row r="42" spans="1:13" x14ac:dyDescent="0.2">
      <c r="B42" s="77" t="s">
        <v>24</v>
      </c>
      <c r="C42" s="78" t="s">
        <v>159</v>
      </c>
      <c r="D42" s="93" t="s">
        <v>122</v>
      </c>
      <c r="E42" s="12" t="str">
        <f>VLOOKUP(D42,$O$12:$Q$16,2,0)</f>
        <v>Peso</v>
      </c>
      <c r="F42" s="12" t="str">
        <f>VLOOKUP(D42,$O$12:$Q$16,3,0)</f>
        <v>Pesos</v>
      </c>
      <c r="G42" s="12"/>
      <c r="H42" s="12"/>
      <c r="K42" s="48" t="s">
        <v>218</v>
      </c>
      <c r="L42" s="53"/>
      <c r="M42" s="48" t="s">
        <v>121</v>
      </c>
    </row>
    <row r="43" spans="1:13" x14ac:dyDescent="0.2">
      <c r="B43" s="88"/>
      <c r="C43" s="62" t="s">
        <v>255</v>
      </c>
      <c r="D43" s="94" t="s">
        <v>201</v>
      </c>
      <c r="K43" s="48" t="s">
        <v>219</v>
      </c>
      <c r="L43" s="53"/>
      <c r="M43" s="48" t="s">
        <v>81</v>
      </c>
    </row>
    <row r="44" spans="1:13" x14ac:dyDescent="0.2">
      <c r="B44" s="77" t="s">
        <v>25</v>
      </c>
      <c r="C44" s="78" t="s">
        <v>258</v>
      </c>
      <c r="D44" s="93" t="s">
        <v>201</v>
      </c>
      <c r="K44" s="48" t="s">
        <v>220</v>
      </c>
      <c r="L44" s="53"/>
      <c r="M44" s="53"/>
    </row>
    <row r="45" spans="1:13" x14ac:dyDescent="0.2">
      <c r="B45" s="88"/>
      <c r="C45" s="62" t="s">
        <v>255</v>
      </c>
      <c r="D45" s="94" t="s">
        <v>202</v>
      </c>
      <c r="K45" s="53"/>
      <c r="L45" s="53"/>
      <c r="M45" s="53"/>
    </row>
    <row r="46" spans="1:13" x14ac:dyDescent="0.2">
      <c r="B46" s="77" t="s">
        <v>26</v>
      </c>
      <c r="C46" s="78" t="s">
        <v>160</v>
      </c>
      <c r="D46" s="95" t="s">
        <v>327</v>
      </c>
      <c r="K46" s="53"/>
      <c r="L46" s="53"/>
      <c r="M46" s="53"/>
    </row>
    <row r="47" spans="1:13" x14ac:dyDescent="0.2">
      <c r="B47" s="58" t="s">
        <v>27</v>
      </c>
      <c r="C47" s="89" t="s">
        <v>161</v>
      </c>
      <c r="D47" s="96" t="s">
        <v>265</v>
      </c>
      <c r="E47" t="e">
        <f>NumLetras(D46, E42,F42)</f>
        <v>#VALUE!</v>
      </c>
      <c r="K47" s="53"/>
      <c r="L47" s="53"/>
      <c r="M47" s="53"/>
    </row>
    <row r="48" spans="1:13" x14ac:dyDescent="0.2">
      <c r="B48" s="81"/>
      <c r="C48" s="62" t="s">
        <v>255</v>
      </c>
      <c r="D48" s="92">
        <v>42746</v>
      </c>
      <c r="K48" s="53"/>
      <c r="L48" s="53"/>
      <c r="M48" s="53"/>
    </row>
    <row r="49" spans="1:16" x14ac:dyDescent="0.2">
      <c r="B49" s="83"/>
      <c r="C49" s="62"/>
      <c r="D49" s="75">
        <v>42793</v>
      </c>
      <c r="K49" s="53"/>
      <c r="L49" s="53"/>
      <c r="M49" s="53"/>
    </row>
    <row r="50" spans="1:16" x14ac:dyDescent="0.2">
      <c r="B50" s="77" t="s">
        <v>28</v>
      </c>
      <c r="C50" s="78" t="s">
        <v>1</v>
      </c>
      <c r="D50" s="97" t="str">
        <f>CONCATENATE(TEXT(D49,"dd")," de ", TEXT(D49,"mmmm")," de ",TEXT(D49,"yyyy"))</f>
        <v>27 de febrero de 2017</v>
      </c>
      <c r="K50" s="46" t="s">
        <v>221</v>
      </c>
      <c r="L50" s="46" t="s">
        <v>222</v>
      </c>
      <c r="M50" s="46" t="s">
        <v>223</v>
      </c>
    </row>
    <row r="51" spans="1:16" x14ac:dyDescent="0.2">
      <c r="B51" s="81"/>
      <c r="C51" s="62" t="s">
        <v>255</v>
      </c>
      <c r="D51" s="92">
        <v>42806</v>
      </c>
      <c r="K51" s="54" t="s">
        <v>224</v>
      </c>
      <c r="L51" s="54" t="s">
        <v>137</v>
      </c>
      <c r="M51" s="55" t="s">
        <v>136</v>
      </c>
    </row>
    <row r="52" spans="1:16" x14ac:dyDescent="0.2">
      <c r="B52" s="83"/>
      <c r="C52" s="62"/>
      <c r="D52" s="75">
        <v>42892</v>
      </c>
      <c r="K52" s="54" t="s">
        <v>225</v>
      </c>
      <c r="L52" s="54" t="s">
        <v>149</v>
      </c>
      <c r="M52" s="55" t="s">
        <v>150</v>
      </c>
    </row>
    <row r="53" spans="1:16" x14ac:dyDescent="0.2">
      <c r="B53" s="77" t="s">
        <v>29</v>
      </c>
      <c r="C53" s="78" t="s">
        <v>2</v>
      </c>
      <c r="D53" s="97" t="str">
        <f>CONCATENATE(TEXT(D52,"dd")," de ", TEXT(D52,"mmmm")," de ",TEXT(D52,"yyyy"))</f>
        <v>06 de junio de 2017</v>
      </c>
      <c r="K53" s="54" t="s">
        <v>226</v>
      </c>
      <c r="L53" s="54" t="s">
        <v>194</v>
      </c>
      <c r="M53" s="56" t="s">
        <v>227</v>
      </c>
    </row>
    <row r="54" spans="1:16" x14ac:dyDescent="0.2">
      <c r="B54" s="77" t="s">
        <v>30</v>
      </c>
      <c r="C54" s="78" t="s">
        <v>3</v>
      </c>
      <c r="D54" s="97">
        <f>D52-D49</f>
        <v>99</v>
      </c>
      <c r="F54" s="10"/>
      <c r="G54" s="10"/>
      <c r="H54" s="10"/>
      <c r="I54" s="10"/>
      <c r="J54" s="10"/>
      <c r="K54" s="54" t="s">
        <v>189</v>
      </c>
      <c r="L54" s="54" t="s">
        <v>190</v>
      </c>
      <c r="M54" s="56" t="s">
        <v>228</v>
      </c>
    </row>
    <row r="55" spans="1:16" x14ac:dyDescent="0.2">
      <c r="B55" s="77" t="s">
        <v>31</v>
      </c>
      <c r="C55" s="78" t="s">
        <v>171</v>
      </c>
      <c r="D55" s="98" t="str">
        <f>NumLetras(D54)</f>
        <v xml:space="preserve"> noventa y nueve </v>
      </c>
      <c r="K55" s="54" t="s">
        <v>340</v>
      </c>
      <c r="L55" s="54" t="s">
        <v>342</v>
      </c>
      <c r="M55" s="56" t="s">
        <v>341</v>
      </c>
    </row>
    <row r="56" spans="1:16" x14ac:dyDescent="0.2">
      <c r="B56" s="88"/>
      <c r="C56" s="62" t="s">
        <v>255</v>
      </c>
      <c r="D56" s="94" t="s">
        <v>205</v>
      </c>
      <c r="K56" s="54"/>
      <c r="L56" s="54"/>
      <c r="M56" s="54"/>
    </row>
    <row r="57" spans="1:16" x14ac:dyDescent="0.2">
      <c r="A57" t="s">
        <v>269</v>
      </c>
      <c r="B57" s="77" t="s">
        <v>32</v>
      </c>
      <c r="C57" s="78" t="s">
        <v>162</v>
      </c>
      <c r="D57" s="99" t="s">
        <v>268</v>
      </c>
      <c r="K57" s="54"/>
      <c r="L57" s="54"/>
      <c r="M57" s="54"/>
    </row>
    <row r="58" spans="1:16" x14ac:dyDescent="0.2">
      <c r="B58" s="88"/>
      <c r="C58" s="62" t="s">
        <v>255</v>
      </c>
      <c r="D58" s="90" t="s">
        <v>266</v>
      </c>
      <c r="K58" s="54"/>
      <c r="L58" s="54"/>
      <c r="M58" s="54"/>
    </row>
    <row r="59" spans="1:16" x14ac:dyDescent="0.2">
      <c r="B59" s="77" t="s">
        <v>33</v>
      </c>
      <c r="C59" s="78" t="s">
        <v>163</v>
      </c>
      <c r="D59" s="99" t="s">
        <v>340</v>
      </c>
      <c r="K59" s="54"/>
      <c r="L59" s="54"/>
      <c r="M59" s="54"/>
    </row>
    <row r="60" spans="1:16" x14ac:dyDescent="0.2">
      <c r="B60" s="88"/>
      <c r="C60" s="62" t="s">
        <v>255</v>
      </c>
      <c r="D60" s="94" t="s">
        <v>266</v>
      </c>
      <c r="K60" s="54"/>
      <c r="L60" s="54"/>
      <c r="M60" s="54"/>
    </row>
    <row r="61" spans="1:16" x14ac:dyDescent="0.2">
      <c r="B61" s="77" t="s">
        <v>34</v>
      </c>
      <c r="C61" s="78" t="s">
        <v>164</v>
      </c>
      <c r="D61" s="93" t="s">
        <v>342</v>
      </c>
      <c r="K61" s="54"/>
      <c r="L61" s="54"/>
      <c r="M61" s="54"/>
    </row>
    <row r="62" spans="1:16" x14ac:dyDescent="0.2">
      <c r="B62" s="88"/>
      <c r="C62" s="62" t="s">
        <v>255</v>
      </c>
      <c r="D62" s="94" t="s">
        <v>266</v>
      </c>
      <c r="K62" s="54"/>
      <c r="L62" s="54"/>
      <c r="M62" s="54"/>
    </row>
    <row r="63" spans="1:16" x14ac:dyDescent="0.2">
      <c r="B63" s="77" t="s">
        <v>35</v>
      </c>
      <c r="C63" s="78" t="s">
        <v>172</v>
      </c>
      <c r="D63" s="104" t="s">
        <v>341</v>
      </c>
      <c r="K63" s="54"/>
      <c r="L63" s="54"/>
      <c r="M63" s="54"/>
    </row>
    <row r="64" spans="1:16" x14ac:dyDescent="0.2">
      <c r="B64" s="77" t="s">
        <v>36</v>
      </c>
      <c r="C64" s="78" t="s">
        <v>165</v>
      </c>
      <c r="D64" s="93" t="s">
        <v>176</v>
      </c>
      <c r="K64" s="54"/>
      <c r="L64" s="54"/>
      <c r="M64" s="54"/>
      <c r="N64" t="s">
        <v>111</v>
      </c>
      <c r="O64" s="13" t="s">
        <v>136</v>
      </c>
      <c r="P64" t="s">
        <v>137</v>
      </c>
    </row>
    <row r="65" spans="1:16" x14ac:dyDescent="0.2">
      <c r="B65" s="77" t="s">
        <v>37</v>
      </c>
      <c r="C65" s="78" t="s">
        <v>166</v>
      </c>
      <c r="D65" s="105" t="s">
        <v>170</v>
      </c>
      <c r="K65" s="54"/>
      <c r="L65" s="54"/>
      <c r="M65" s="54"/>
      <c r="N65" t="s">
        <v>148</v>
      </c>
      <c r="O65" s="13" t="s">
        <v>150</v>
      </c>
      <c r="P65" t="s">
        <v>149</v>
      </c>
    </row>
    <row r="66" spans="1:16" x14ac:dyDescent="0.2">
      <c r="B66" s="77" t="s">
        <v>38</v>
      </c>
      <c r="C66" s="78" t="s">
        <v>173</v>
      </c>
      <c r="D66" s="104" t="s">
        <v>188</v>
      </c>
      <c r="K66" s="54"/>
      <c r="L66" s="54"/>
      <c r="M66" s="54"/>
    </row>
    <row r="67" spans="1:16" x14ac:dyDescent="0.2">
      <c r="B67" s="88"/>
      <c r="C67" s="62" t="s">
        <v>255</v>
      </c>
      <c r="D67" s="94" t="s">
        <v>272</v>
      </c>
      <c r="K67" s="54"/>
      <c r="L67" s="54"/>
      <c r="M67" s="54"/>
    </row>
    <row r="68" spans="1:16" x14ac:dyDescent="0.2">
      <c r="A68" s="53" t="s">
        <v>270</v>
      </c>
      <c r="B68" s="58" t="s">
        <v>39</v>
      </c>
      <c r="C68" s="89" t="s">
        <v>167</v>
      </c>
      <c r="D68" s="99" t="s">
        <v>204</v>
      </c>
      <c r="K68" s="54"/>
      <c r="L68" s="54"/>
      <c r="M68" s="54"/>
    </row>
    <row r="69" spans="1:16" x14ac:dyDescent="0.2">
      <c r="B69" s="81"/>
      <c r="C69" s="62" t="s">
        <v>255</v>
      </c>
      <c r="D69" s="94">
        <v>42744</v>
      </c>
      <c r="E69" s="9"/>
    </row>
    <row r="70" spans="1:16" x14ac:dyDescent="0.2">
      <c r="B70" s="83"/>
      <c r="C70" s="62"/>
      <c r="D70" s="101">
        <v>42738</v>
      </c>
      <c r="E70" s="9"/>
    </row>
    <row r="71" spans="1:16" x14ac:dyDescent="0.2">
      <c r="B71" s="77" t="s">
        <v>40</v>
      </c>
      <c r="C71" s="78" t="s">
        <v>168</v>
      </c>
      <c r="D71" s="97" t="str">
        <f>CONCATENATE(TEXT(D70,"dd")," de ", TEXT(D70,"mmmm")," de ",TEXT(D70,"yyyy"))</f>
        <v>03 de enero de 2017</v>
      </c>
      <c r="E71" s="9"/>
      <c r="F71" s="10"/>
      <c r="G71" s="10"/>
      <c r="H71" s="10"/>
      <c r="I71" s="10"/>
      <c r="J71" s="10"/>
    </row>
    <row r="72" spans="1:16" x14ac:dyDescent="0.2">
      <c r="B72" s="88"/>
      <c r="C72" s="62" t="s">
        <v>255</v>
      </c>
      <c r="D72" s="94" t="s">
        <v>193</v>
      </c>
      <c r="E72" s="10"/>
      <c r="F72" s="10"/>
      <c r="G72" s="10"/>
      <c r="H72" s="10"/>
      <c r="I72" s="10"/>
      <c r="J72" s="10"/>
    </row>
    <row r="73" spans="1:16" x14ac:dyDescent="0.2">
      <c r="A73" t="s">
        <v>271</v>
      </c>
      <c r="B73" s="77" t="s">
        <v>41</v>
      </c>
      <c r="C73" s="87" t="s">
        <v>191</v>
      </c>
      <c r="D73" s="99" t="s">
        <v>193</v>
      </c>
      <c r="E73" s="9"/>
      <c r="F73" s="10"/>
      <c r="G73" s="10"/>
      <c r="H73" s="10"/>
      <c r="I73" s="10"/>
      <c r="J73" s="10"/>
    </row>
    <row r="74" spans="1:16" x14ac:dyDescent="0.2">
      <c r="B74" s="88"/>
      <c r="C74" s="62" t="s">
        <v>255</v>
      </c>
      <c r="D74" s="94" t="s">
        <v>194</v>
      </c>
      <c r="E74" s="10"/>
      <c r="F74" s="10"/>
      <c r="G74" s="10"/>
      <c r="H74" s="10"/>
      <c r="I74" s="10"/>
      <c r="J74" s="10"/>
    </row>
    <row r="75" spans="1:16" x14ac:dyDescent="0.2">
      <c r="B75" s="77" t="s">
        <v>42</v>
      </c>
      <c r="C75" s="87" t="s">
        <v>192</v>
      </c>
      <c r="D75" s="99" t="s">
        <v>194</v>
      </c>
      <c r="E75" s="9"/>
    </row>
    <row r="76" spans="1:16" x14ac:dyDescent="0.2">
      <c r="B76" s="88"/>
      <c r="C76" s="62" t="s">
        <v>255</v>
      </c>
      <c r="D76" s="94" t="s">
        <v>80</v>
      </c>
      <c r="E76" s="9"/>
    </row>
    <row r="77" spans="1:16" x14ac:dyDescent="0.2">
      <c r="B77" s="77" t="s">
        <v>43</v>
      </c>
      <c r="C77" s="87" t="s">
        <v>169</v>
      </c>
      <c r="D77" s="99" t="s">
        <v>80</v>
      </c>
      <c r="E77" s="9"/>
    </row>
    <row r="78" spans="1:16" x14ac:dyDescent="0.2">
      <c r="B78" s="88"/>
      <c r="C78" s="62" t="s">
        <v>255</v>
      </c>
      <c r="D78" s="94" t="s">
        <v>175</v>
      </c>
      <c r="E78" s="9"/>
    </row>
    <row r="79" spans="1:16" x14ac:dyDescent="0.2">
      <c r="B79" s="77" t="s">
        <v>44</v>
      </c>
      <c r="C79" s="78" t="s">
        <v>174</v>
      </c>
      <c r="D79" s="100" t="s">
        <v>175</v>
      </c>
      <c r="E79" s="10"/>
    </row>
    <row r="80" spans="1:16" x14ac:dyDescent="0.2">
      <c r="B80" s="88"/>
      <c r="C80" s="62"/>
      <c r="D80" s="103">
        <f>D21+7</f>
        <v>42767</v>
      </c>
      <c r="E80" s="10"/>
    </row>
    <row r="81" spans="1:6" x14ac:dyDescent="0.2">
      <c r="B81" s="77" t="s">
        <v>45</v>
      </c>
      <c r="C81" s="78" t="s">
        <v>267</v>
      </c>
      <c r="D81" s="102" t="str">
        <f>CONCATENATE(TEXT(D80,"dd")," de ", TEXT(D80,"mmmm")," de ",TEXT(D80,"yyyy"))</f>
        <v>01 de febrero de 2017</v>
      </c>
      <c r="E81" s="9"/>
    </row>
    <row r="82" spans="1:6" x14ac:dyDescent="0.2">
      <c r="B82" s="88"/>
      <c r="C82" s="62" t="s">
        <v>255</v>
      </c>
      <c r="D82" s="108">
        <v>15</v>
      </c>
      <c r="E82" s="9"/>
    </row>
    <row r="83" spans="1:6" x14ac:dyDescent="0.2">
      <c r="A83" t="s">
        <v>4</v>
      </c>
      <c r="B83" s="77" t="s">
        <v>46</v>
      </c>
      <c r="C83" s="87" t="s">
        <v>330</v>
      </c>
      <c r="D83" s="99" t="s">
        <v>329</v>
      </c>
      <c r="E83" s="12" t="s">
        <v>331</v>
      </c>
      <c r="F83" s="12" t="s">
        <v>331</v>
      </c>
    </row>
    <row r="84" spans="1:6" x14ac:dyDescent="0.2">
      <c r="B84" s="77" t="s">
        <v>47</v>
      </c>
      <c r="C84" s="87" t="s">
        <v>328</v>
      </c>
      <c r="D84" s="109" t="str">
        <f>NumLetras(D83, E83,F83)</f>
        <v xml:space="preserve"> quince por ciento</v>
      </c>
      <c r="E84" s="9"/>
    </row>
    <row r="85" spans="1:6" x14ac:dyDescent="0.2">
      <c r="B85" s="77" t="s">
        <v>48</v>
      </c>
      <c r="C85" s="111" t="s">
        <v>333</v>
      </c>
      <c r="D85" s="113" t="s">
        <v>334</v>
      </c>
      <c r="E85" s="9"/>
    </row>
    <row r="86" spans="1:6" x14ac:dyDescent="0.2">
      <c r="B86" s="88"/>
      <c r="C86" s="110" t="s">
        <v>255</v>
      </c>
      <c r="D86" s="94">
        <v>42744</v>
      </c>
      <c r="E86" s="9"/>
    </row>
    <row r="87" spans="1:6" x14ac:dyDescent="0.2">
      <c r="B87" s="88"/>
      <c r="C87" s="110"/>
      <c r="D87" s="101">
        <v>42744</v>
      </c>
      <c r="E87" s="9"/>
    </row>
    <row r="88" spans="1:6" x14ac:dyDescent="0.2">
      <c r="B88" s="77" t="s">
        <v>49</v>
      </c>
      <c r="C88" s="111" t="s">
        <v>332</v>
      </c>
      <c r="D88" s="97" t="str">
        <f>IF(D87=0,"",CONCATENATE(TEXT(D87,"dd")," de ",TEXT(D87,"mmmm")," de ",TEXT(D87,"yyyy")))</f>
        <v>09 de enero de 2017</v>
      </c>
      <c r="E88" s="9"/>
    </row>
    <row r="89" spans="1:6" x14ac:dyDescent="0.2">
      <c r="B89" s="77" t="s">
        <v>50</v>
      </c>
      <c r="C89" s="111" t="s">
        <v>337</v>
      </c>
      <c r="D89" s="97"/>
      <c r="E89" s="9"/>
    </row>
    <row r="90" spans="1:6" x14ac:dyDescent="0.2">
      <c r="B90" s="77" t="s">
        <v>51</v>
      </c>
      <c r="C90" s="111" t="s">
        <v>335</v>
      </c>
      <c r="D90" s="112"/>
      <c r="E90" s="9"/>
    </row>
    <row r="91" spans="1:6" x14ac:dyDescent="0.2">
      <c r="B91" s="81"/>
      <c r="C91" s="62" t="s">
        <v>255</v>
      </c>
      <c r="D91" s="94">
        <v>42744</v>
      </c>
      <c r="E91" s="9"/>
    </row>
    <row r="92" spans="1:6" x14ac:dyDescent="0.2">
      <c r="B92" s="88"/>
      <c r="C92" s="62"/>
      <c r="D92" s="101"/>
      <c r="E92" s="9"/>
    </row>
    <row r="93" spans="1:6" x14ac:dyDescent="0.2">
      <c r="B93" s="77" t="s">
        <v>52</v>
      </c>
      <c r="C93" s="111" t="s">
        <v>336</v>
      </c>
      <c r="D93" s="97" t="str">
        <f>IF(D92=0,"",CONCATENATE(TEXT(D92,"dd")," de ",TEXT(D92,"mmmm")," de ",TEXT(D92,"yyyy")))</f>
        <v/>
      </c>
      <c r="E93" s="9"/>
    </row>
    <row r="94" spans="1:6" x14ac:dyDescent="0.2">
      <c r="B94" s="77" t="s">
        <v>53</v>
      </c>
      <c r="C94" s="111" t="s">
        <v>338</v>
      </c>
      <c r="D94" s="97"/>
      <c r="E94" s="9"/>
    </row>
    <row r="95" spans="1:6" x14ac:dyDescent="0.2">
      <c r="B95" s="6" t="s">
        <v>54</v>
      </c>
      <c r="C95" s="36"/>
      <c r="D95" s="39"/>
      <c r="E95" s="9"/>
    </row>
    <row r="96" spans="1:6" x14ac:dyDescent="0.2">
      <c r="B96" s="6" t="s">
        <v>55</v>
      </c>
      <c r="C96" s="36"/>
      <c r="D96" s="38"/>
      <c r="E96" s="9"/>
    </row>
    <row r="97" spans="1:5" x14ac:dyDescent="0.2">
      <c r="B97" s="6" t="s">
        <v>56</v>
      </c>
      <c r="C97" s="36"/>
      <c r="D97" s="37"/>
      <c r="E97" s="9"/>
    </row>
    <row r="98" spans="1:5" x14ac:dyDescent="0.2">
      <c r="B98" s="6" t="s">
        <v>57</v>
      </c>
      <c r="C98" s="36"/>
      <c r="D98" s="38"/>
      <c r="E98" s="9"/>
    </row>
    <row r="99" spans="1:5" x14ac:dyDescent="0.2">
      <c r="B99" s="6" t="s">
        <v>58</v>
      </c>
      <c r="C99" s="36"/>
      <c r="D99" s="37"/>
      <c r="E99" s="9"/>
    </row>
    <row r="100" spans="1:5" x14ac:dyDescent="0.2">
      <c r="B100" s="6" t="s">
        <v>59</v>
      </c>
      <c r="C100" s="36"/>
      <c r="D100" s="40"/>
      <c r="E100" s="9"/>
    </row>
    <row r="101" spans="1:5" x14ac:dyDescent="0.2">
      <c r="B101" s="6" t="s">
        <v>60</v>
      </c>
      <c r="C101" s="36"/>
      <c r="D101" s="38"/>
      <c r="E101" s="9"/>
    </row>
    <row r="102" spans="1:5" x14ac:dyDescent="0.2">
      <c r="A102" t="s">
        <v>5</v>
      </c>
      <c r="B102" s="6" t="s">
        <v>61</v>
      </c>
      <c r="C102" s="36"/>
      <c r="D102" s="38"/>
      <c r="E102" s="9"/>
    </row>
    <row r="103" spans="1:5" x14ac:dyDescent="0.2">
      <c r="B103" s="6" t="s">
        <v>62</v>
      </c>
      <c r="C103" s="36"/>
      <c r="D103" s="37"/>
      <c r="E103" s="9"/>
    </row>
    <row r="104" spans="1:5" x14ac:dyDescent="0.2">
      <c r="A104" t="s">
        <v>6</v>
      </c>
      <c r="B104" s="6" t="s">
        <v>63</v>
      </c>
      <c r="C104" s="36"/>
      <c r="D104" s="38"/>
      <c r="E104" s="9"/>
    </row>
    <row r="105" spans="1:5" x14ac:dyDescent="0.2">
      <c r="B105" s="6" t="s">
        <v>64</v>
      </c>
      <c r="C105" s="36"/>
      <c r="D105" s="38"/>
      <c r="E105" s="9"/>
    </row>
    <row r="106" spans="1:5" x14ac:dyDescent="0.2">
      <c r="A106" t="s">
        <v>7</v>
      </c>
      <c r="B106" s="6" t="s">
        <v>65</v>
      </c>
      <c r="C106" s="36"/>
      <c r="D106" s="38"/>
      <c r="E106" s="9"/>
    </row>
    <row r="107" spans="1:5" x14ac:dyDescent="0.2">
      <c r="B107" s="6" t="s">
        <v>66</v>
      </c>
      <c r="C107" s="36"/>
      <c r="D107" s="38"/>
      <c r="E107" s="9"/>
    </row>
    <row r="108" spans="1:5" x14ac:dyDescent="0.2">
      <c r="A108" t="s">
        <v>8</v>
      </c>
      <c r="B108" s="6" t="s">
        <v>67</v>
      </c>
      <c r="C108" s="36"/>
      <c r="D108" s="38"/>
      <c r="E108" s="9"/>
    </row>
    <row r="109" spans="1:5" x14ac:dyDescent="0.2">
      <c r="A109" t="s">
        <v>9</v>
      </c>
      <c r="B109" s="6" t="s">
        <v>68</v>
      </c>
      <c r="C109" s="36"/>
      <c r="D109" s="41"/>
      <c r="E109" s="9"/>
    </row>
    <row r="110" spans="1:5" x14ac:dyDescent="0.2">
      <c r="B110" s="6" t="s">
        <v>69</v>
      </c>
      <c r="C110" s="36"/>
      <c r="D110" s="41"/>
      <c r="E110" s="9"/>
    </row>
    <row r="111" spans="1:5" x14ac:dyDescent="0.2">
      <c r="B111" s="6" t="s">
        <v>70</v>
      </c>
      <c r="C111" s="36"/>
      <c r="D111" s="42"/>
      <c r="E111" s="9"/>
    </row>
    <row r="112" spans="1:5" x14ac:dyDescent="0.2">
      <c r="B112" s="6" t="s">
        <v>71</v>
      </c>
      <c r="C112" s="36"/>
      <c r="D112" s="42"/>
      <c r="E112" s="9"/>
    </row>
    <row r="113" spans="1:5" x14ac:dyDescent="0.2">
      <c r="B113" s="6" t="s">
        <v>72</v>
      </c>
      <c r="C113" s="36"/>
      <c r="D113" s="42"/>
      <c r="E113" s="9"/>
    </row>
    <row r="114" spans="1:5" x14ac:dyDescent="0.2">
      <c r="A114" t="s">
        <v>10</v>
      </c>
      <c r="B114" s="6" t="s">
        <v>73</v>
      </c>
      <c r="C114" s="36"/>
      <c r="D114" s="38"/>
      <c r="E114" s="9"/>
    </row>
    <row r="115" spans="1:5" x14ac:dyDescent="0.2">
      <c r="B115" s="6" t="s">
        <v>74</v>
      </c>
      <c r="C115" s="36"/>
      <c r="D115" s="38"/>
      <c r="E115" s="9"/>
    </row>
    <row r="116" spans="1:5" x14ac:dyDescent="0.2">
      <c r="B116" s="6" t="s">
        <v>75</v>
      </c>
      <c r="C116" s="36"/>
      <c r="D116" s="43"/>
      <c r="E116" s="9"/>
    </row>
    <row r="117" spans="1:5" x14ac:dyDescent="0.2">
      <c r="B117" s="6" t="s">
        <v>76</v>
      </c>
      <c r="C117" s="36"/>
      <c r="D117" s="38"/>
      <c r="E117" s="9"/>
    </row>
    <row r="118" spans="1:5" x14ac:dyDescent="0.2">
      <c r="B118" s="6" t="s">
        <v>77</v>
      </c>
      <c r="C118" s="36"/>
      <c r="D118" s="38"/>
      <c r="E118" s="9"/>
    </row>
    <row r="119" spans="1:5" x14ac:dyDescent="0.2">
      <c r="B119" s="6" t="s">
        <v>78</v>
      </c>
      <c r="C119" s="36"/>
      <c r="D119" s="43"/>
      <c r="E119" s="9"/>
    </row>
    <row r="120" spans="1:5" x14ac:dyDescent="0.2">
      <c r="A120" t="s">
        <v>11</v>
      </c>
      <c r="B120" s="6" t="s">
        <v>79</v>
      </c>
      <c r="C120" s="36"/>
      <c r="D120" s="40"/>
      <c r="E120" s="9"/>
    </row>
    <row r="121" spans="1:5" x14ac:dyDescent="0.2">
      <c r="B121" s="6" t="s">
        <v>82</v>
      </c>
      <c r="C121" s="36"/>
      <c r="D121" s="38"/>
      <c r="E121" s="9"/>
    </row>
    <row r="122" spans="1:5" x14ac:dyDescent="0.2">
      <c r="B122" s="6" t="s">
        <v>83</v>
      </c>
      <c r="C122" s="36"/>
      <c r="D122" s="38"/>
      <c r="E122" s="9"/>
    </row>
    <row r="123" spans="1:5" x14ac:dyDescent="0.2">
      <c r="B123" s="6" t="s">
        <v>84</v>
      </c>
      <c r="C123" s="36"/>
      <c r="D123" s="40"/>
      <c r="E123" s="9"/>
    </row>
    <row r="124" spans="1:5" x14ac:dyDescent="0.2">
      <c r="B124" s="6" t="s">
        <v>86</v>
      </c>
      <c r="C124" s="36"/>
      <c r="D124" s="38"/>
      <c r="E124" s="9"/>
    </row>
    <row r="125" spans="1:5" x14ac:dyDescent="0.2">
      <c r="B125" s="6" t="s">
        <v>87</v>
      </c>
      <c r="C125" s="36"/>
      <c r="D125" s="38"/>
      <c r="E125" s="9"/>
    </row>
    <row r="126" spans="1:5" x14ac:dyDescent="0.2">
      <c r="B126" s="6" t="s">
        <v>88</v>
      </c>
      <c r="C126" s="36"/>
      <c r="D126" s="38"/>
      <c r="E126" s="9"/>
    </row>
    <row r="127" spans="1:5" x14ac:dyDescent="0.2">
      <c r="B127" s="6" t="s">
        <v>89</v>
      </c>
      <c r="C127" s="36"/>
      <c r="D127" s="40"/>
      <c r="E127" s="9"/>
    </row>
    <row r="128" spans="1:5" x14ac:dyDescent="0.2">
      <c r="B128" s="6" t="s">
        <v>92</v>
      </c>
      <c r="C128" s="36"/>
      <c r="D128" s="38"/>
      <c r="E128" s="9"/>
    </row>
    <row r="129" spans="2:5" x14ac:dyDescent="0.2">
      <c r="B129" s="6" t="s">
        <v>93</v>
      </c>
      <c r="C129" s="44"/>
      <c r="D129" s="38"/>
      <c r="E129" s="9"/>
    </row>
    <row r="130" spans="2:5" x14ac:dyDescent="0.2">
      <c r="B130" s="6" t="s">
        <v>94</v>
      </c>
      <c r="C130" s="36"/>
      <c r="D130" s="38"/>
      <c r="E130" s="9"/>
    </row>
    <row r="131" spans="2:5" x14ac:dyDescent="0.2">
      <c r="B131" s="6" t="s">
        <v>95</v>
      </c>
      <c r="C131" s="44"/>
      <c r="D131" s="45"/>
      <c r="E131" s="9"/>
    </row>
    <row r="132" spans="2:5" x14ac:dyDescent="0.2">
      <c r="B132" s="6" t="s">
        <v>96</v>
      </c>
      <c r="C132" s="36"/>
      <c r="D132" s="38"/>
      <c r="E132" s="9"/>
    </row>
    <row r="133" spans="2:5" x14ac:dyDescent="0.2">
      <c r="B133" s="6" t="s">
        <v>97</v>
      </c>
      <c r="C133" s="36"/>
      <c r="D133" s="38"/>
      <c r="E133" s="9"/>
    </row>
    <row r="134" spans="2:5" x14ac:dyDescent="0.2">
      <c r="B134" s="6" t="s">
        <v>98</v>
      </c>
      <c r="C134" s="36"/>
      <c r="D134" s="38"/>
      <c r="E134" s="9"/>
    </row>
    <row r="135" spans="2:5" x14ac:dyDescent="0.2">
      <c r="B135" s="6" t="s">
        <v>99</v>
      </c>
      <c r="C135" s="36"/>
      <c r="D135" s="37"/>
      <c r="E135" s="9"/>
    </row>
    <row r="136" spans="2:5" x14ac:dyDescent="0.2">
      <c r="E136" s="9"/>
    </row>
  </sheetData>
  <phoneticPr fontId="9" type="noConversion"/>
  <dataValidations count="5">
    <dataValidation type="list" allowBlank="1" showInputMessage="1" showErrorMessage="1" sqref="D101">
      <formula1>$N$22:$N$23</formula1>
    </dataValidation>
    <dataValidation type="list" allowBlank="1" showInputMessage="1" showErrorMessage="1" sqref="D95">
      <formula1>$O$12:$O$16</formula1>
    </dataValidation>
    <dataValidation type="list" allowBlank="1" showInputMessage="1" showErrorMessage="1" sqref="D42">
      <formula1>$O$13:$O$17</formula1>
    </dataValidation>
    <dataValidation type="list" allowBlank="1" showInputMessage="1" showErrorMessage="1" sqref="D3">
      <formula1>$M$3:$M$10</formula1>
    </dataValidation>
    <dataValidation type="list" allowBlank="1" showInputMessage="1" showErrorMessage="1" sqref="D59">
      <formula1>$K$51:$K$68</formula1>
    </dataValidation>
  </dataValidations>
  <hyperlinks>
    <hyperlink ref="O64" r:id="rId1"/>
    <hyperlink ref="O65" r:id="rId2"/>
    <hyperlink ref="D66" r:id="rId3"/>
    <hyperlink ref="D63" r:id="rId4" display="Klaus.Heppe@teck.com"/>
    <hyperlink ref="M51" r:id="rId5"/>
    <hyperlink ref="M52" r:id="rId6"/>
    <hyperlink ref="M53" r:id="rId7"/>
    <hyperlink ref="M54" r:id="rId8"/>
    <hyperlink ref="M55" r:id="rId9"/>
  </hyperlinks>
  <pageMargins left="0.7" right="0.7" top="0.75" bottom="0.75" header="0.3" footer="0.3"/>
  <pageSetup scale="53" orientation="portrait"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CP2"/>
  <sheetViews>
    <sheetView zoomScale="70" zoomScaleNormal="70" zoomScalePageLayoutView="70" workbookViewId="0">
      <selection activeCell="F13" sqref="F13"/>
    </sheetView>
  </sheetViews>
  <sheetFormatPr baseColWidth="10" defaultRowHeight="15" x14ac:dyDescent="0.2"/>
  <cols>
    <col min="1" max="70" width="3.5" customWidth="1"/>
    <col min="71" max="78" width="3.6640625" customWidth="1"/>
    <col min="79" max="94" width="3.1640625" customWidth="1"/>
  </cols>
  <sheetData>
    <row r="1" spans="1:94" x14ac:dyDescent="0.2">
      <c r="A1" t="s">
        <v>230</v>
      </c>
      <c r="B1" t="s">
        <v>232</v>
      </c>
      <c r="C1" t="s">
        <v>234</v>
      </c>
      <c r="D1" t="s">
        <v>236</v>
      </c>
      <c r="E1" t="s">
        <v>13</v>
      </c>
      <c r="F1" t="s">
        <v>14</v>
      </c>
      <c r="G1" t="s">
        <v>15</v>
      </c>
      <c r="H1" t="s">
        <v>16</v>
      </c>
      <c r="I1" t="s">
        <v>17</v>
      </c>
      <c r="J1" t="s">
        <v>18</v>
      </c>
      <c r="K1" t="s">
        <v>19</v>
      </c>
      <c r="L1" t="s">
        <v>20</v>
      </c>
      <c r="M1" t="s">
        <v>21</v>
      </c>
      <c r="N1" t="s">
        <v>22</v>
      </c>
      <c r="O1" t="s">
        <v>23</v>
      </c>
      <c r="P1" t="s">
        <v>24</v>
      </c>
      <c r="Q1" t="s">
        <v>25</v>
      </c>
      <c r="R1" t="s">
        <v>26</v>
      </c>
      <c r="S1" t="s">
        <v>27</v>
      </c>
      <c r="T1" t="s">
        <v>28</v>
      </c>
      <c r="U1" t="s">
        <v>29</v>
      </c>
      <c r="V1" t="s">
        <v>30</v>
      </c>
      <c r="W1" t="s">
        <v>31</v>
      </c>
      <c r="X1" t="s">
        <v>32</v>
      </c>
      <c r="Y1" t="s">
        <v>33</v>
      </c>
      <c r="Z1" t="s">
        <v>34</v>
      </c>
      <c r="AA1" t="s">
        <v>35</v>
      </c>
      <c r="AB1" t="s">
        <v>36</v>
      </c>
      <c r="AC1" t="s">
        <v>37</v>
      </c>
      <c r="AD1" t="s">
        <v>38</v>
      </c>
      <c r="AE1" t="s">
        <v>39</v>
      </c>
      <c r="AF1" t="s">
        <v>40</v>
      </c>
      <c r="AG1" t="s">
        <v>41</v>
      </c>
      <c r="AH1" t="s">
        <v>42</v>
      </c>
      <c r="AI1" t="s">
        <v>43</v>
      </c>
      <c r="AJ1" t="s">
        <v>44</v>
      </c>
      <c r="AK1" t="s">
        <v>45</v>
      </c>
      <c r="AL1" t="s">
        <v>46</v>
      </c>
      <c r="AM1" t="s">
        <v>47</v>
      </c>
      <c r="AN1" t="s">
        <v>48</v>
      </c>
      <c r="AO1" t="s">
        <v>49</v>
      </c>
      <c r="AP1" t="s">
        <v>50</v>
      </c>
      <c r="AQ1" t="s">
        <v>51</v>
      </c>
      <c r="AR1" t="s">
        <v>52</v>
      </c>
      <c r="AS1" t="s">
        <v>53</v>
      </c>
      <c r="AT1" t="s">
        <v>54</v>
      </c>
      <c r="AU1" t="s">
        <v>55</v>
      </c>
      <c r="AV1" t="s">
        <v>56</v>
      </c>
      <c r="AW1" t="s">
        <v>57</v>
      </c>
      <c r="AX1" t="s">
        <v>58</v>
      </c>
      <c r="AY1" t="s">
        <v>59</v>
      </c>
      <c r="AZ1" t="s">
        <v>60</v>
      </c>
      <c r="BA1" t="s">
        <v>61</v>
      </c>
      <c r="BB1" t="s">
        <v>62</v>
      </c>
      <c r="BC1" t="s">
        <v>63</v>
      </c>
      <c r="BD1" t="s">
        <v>64</v>
      </c>
      <c r="BE1" t="s">
        <v>65</v>
      </c>
      <c r="BF1" t="s">
        <v>66</v>
      </c>
      <c r="BG1" t="s">
        <v>67</v>
      </c>
      <c r="BH1" t="s">
        <v>68</v>
      </c>
      <c r="BI1" t="s">
        <v>69</v>
      </c>
      <c r="BJ1" t="s">
        <v>70</v>
      </c>
      <c r="BK1" t="s">
        <v>71</v>
      </c>
      <c r="BL1" t="s">
        <v>72</v>
      </c>
      <c r="BM1" t="s">
        <v>73</v>
      </c>
      <c r="BN1" t="s">
        <v>74</v>
      </c>
      <c r="BO1" t="s">
        <v>75</v>
      </c>
      <c r="BP1" t="s">
        <v>76</v>
      </c>
      <c r="BQ1" t="s">
        <v>77</v>
      </c>
      <c r="BR1" t="s">
        <v>78</v>
      </c>
      <c r="BS1" t="s">
        <v>79</v>
      </c>
      <c r="BT1" t="s">
        <v>82</v>
      </c>
      <c r="BU1" t="s">
        <v>83</v>
      </c>
      <c r="BV1" t="s">
        <v>84</v>
      </c>
      <c r="BW1" t="s">
        <v>86</v>
      </c>
      <c r="BX1" t="s">
        <v>87</v>
      </c>
      <c r="BY1" t="s">
        <v>88</v>
      </c>
      <c r="BZ1" t="s">
        <v>89</v>
      </c>
      <c r="CA1" t="s">
        <v>92</v>
      </c>
      <c r="CB1" t="s">
        <v>93</v>
      </c>
      <c r="CC1" t="s">
        <v>94</v>
      </c>
      <c r="CD1" t="s">
        <v>95</v>
      </c>
      <c r="CE1" t="s">
        <v>96</v>
      </c>
      <c r="CF1" t="s">
        <v>97</v>
      </c>
      <c r="CG1" t="s">
        <v>98</v>
      </c>
      <c r="CH1" t="s">
        <v>99</v>
      </c>
      <c r="CI1" t="s">
        <v>100</v>
      </c>
      <c r="CJ1" t="s">
        <v>101</v>
      </c>
      <c r="CK1" t="s">
        <v>102</v>
      </c>
      <c r="CL1" t="s">
        <v>103</v>
      </c>
      <c r="CM1" t="s">
        <v>104</v>
      </c>
      <c r="CN1" t="s">
        <v>105</v>
      </c>
      <c r="CO1" t="s">
        <v>106</v>
      </c>
      <c r="CP1" t="s">
        <v>107</v>
      </c>
    </row>
    <row r="2" spans="1:94" ht="147.75" customHeight="1" x14ac:dyDescent="0.2">
      <c r="A2" s="2" t="str">
        <f>IF(VLOOKUP(A1,Hoja1!$B$3:$D$159,3,0)&lt;&gt;"",VLOOKUP(A1,Hoja1!$B$3:$D$159,3,0)," ")</f>
        <v>SOCIEDAD CONTRACTUAL MINERA EL MORRO</v>
      </c>
      <c r="B2" s="2" t="str">
        <f>IF(VLOOKUP(B1,Hoja1!$B$3:$D$159,3,0)&lt;&gt;"",VLOOKUP(B1,Hoja1!$B$3:$D$159,3,0)," ")</f>
        <v>78.840.880-3</v>
      </c>
      <c r="C2" s="2" t="str">
        <f>IF(VLOOKUP(C1,Hoja1!$B$3:$D$159,3,0)&lt;&gt;"",VLOOKUP(C1,Hoja1!$B$3:$D$159,3,0)," ")</f>
        <v>Brasil N°308, Vallenar</v>
      </c>
      <c r="D2" s="2" t="str">
        <f>IF(VLOOKUP(D1,Hoja1!$B$3:$D$159,3,0)&lt;&gt;"",VLOOKUP(D1,Hoja1!$B$3:$D$159,3,0)," ")</f>
        <v xml:space="preserve">Extracción de minerales </v>
      </c>
      <c r="E2" s="2" t="str">
        <f>IF(VLOOKUP(E1,Hoja1!$B$3:$D$159,3,0)&lt;&gt;"",VLOOKUP(E1,Hoja1!$B$3:$D$159,3,0)," ")</f>
        <v>NU-IN-SC-281</v>
      </c>
      <c r="F2" s="2" t="str">
        <f>IF(VLOOKUP(F1,Hoja1!$B$3:$D$159,3,0)&lt;&gt;"",VLOOKUP(F1,Hoja1!$B$3:$D$159,3,0)," ")</f>
        <v>Sondajes Quebrada La Fortuna, Campaña 2017</v>
      </c>
      <c r="G2" s="2" t="str">
        <f>IF(VLOOKUP(G1,Hoja1!$B$3:$D$159,3,0)&lt;&gt;"",VLOOKUP(G1,Hoja1!$B$3:$D$159,3,0)," ")</f>
        <v>DK-0005-17</v>
      </c>
      <c r="H2" s="2" t="str">
        <f>IF(VLOOKUP(H1,Hoja1!$B$3:$D$159,3,0)&lt;&gt;"",VLOOKUP(H1,Hoja1!$B$3:$D$159,3,0)," ")</f>
        <v>25 de enero de 2017</v>
      </c>
      <c r="I2" s="2" t="str">
        <f>IF(VLOOKUP(I1,Hoja1!$B$3:$D$159,3,0)&lt;&gt;"",VLOOKUP(I1,Hoja1!$B$3:$D$159,3,0)," ")</f>
        <v>Griffith Drilling Perforaciones Limitada</v>
      </c>
      <c r="J2" s="2" t="str">
        <f>IF(VLOOKUP(J1,Hoja1!$B$3:$D$159,3,0)&lt;&gt;"",VLOOKUP(J1,Hoja1!$B$3:$D$159,3,0)," ")</f>
        <v>Parcela 21, Vegas Sur, La Serena</v>
      </c>
      <c r="K2" s="2" t="str">
        <f>IF(VLOOKUP(K1,Hoja1!$B$3:$D$159,3,0)&lt;&gt;"",VLOOKUP(K1,Hoja1!$B$3:$D$159,3,0)," ")</f>
        <v>Sr. Boyd Griffith</v>
      </c>
      <c r="L2" s="2" t="str">
        <f>IF(VLOOKUP(L1,Hoja1!$B$3:$D$159,3,0)&lt;&gt;"",VLOOKUP(L1,Hoja1!$B$3:$D$159,3,0)," ")</f>
        <v>Gerente General</v>
      </c>
      <c r="M2" s="2" t="str">
        <f>IF(VLOOKUP(M1,Hoja1!$B$3:$D$159,3,0)&lt;&gt;"",VLOOKUP(M1,Hoja1!$B$3:$D$159,3,0)," ")</f>
        <v>Contrato Mixto con partidas cotizadas a Suma Alzada y serie de Precios Unitarios</v>
      </c>
      <c r="N2" s="2" t="str">
        <f>IF(VLOOKUP(N1,Hoja1!$B$3:$D$159,3,0)&lt;&gt;"",VLOOKUP(N1,Hoja1!$B$3:$D$159,3,0)," ")</f>
        <v>Ejecutar un total de 10.750 metros de sondajes (aproximadamente), entre 375 y 800 metros de profundidad, para investigación geotécnica y obtención de muestras para pruebas geo-metalúrgicas, de acuerdo con lo estipulado en las Bases Técnicas para diámetro HQ3 y PQ. 
Además, considera ejecutar un total de 300 metros en dos sondajes de 150 metros de profundidad cada uno, en la cabecera del Río Manflas, para obtener información suficiente como para alimentar el modelo hidrogeológico de la Zona de la Fortuna, requerido en el EIA.</v>
      </c>
      <c r="O2" s="2" t="str">
        <f>IF(VLOOKUP(O1,Hoja1!$B$3:$D$159,3,0)&lt;&gt;"",VLOOKUP(O1,Hoja1!$B$3:$D$159,3,0)," ")</f>
        <v>Los aportes que El Mandante hará para prestación del Servicio objeto del Contrato se indican a continuación:
•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v>
      </c>
      <c r="P2" s="2" t="str">
        <f>IF(VLOOKUP(P1,Hoja1!$B$3:$D$159,3,0)&lt;&gt;"",VLOOKUP(P1,Hoja1!$B$3:$D$159,3,0)," ")</f>
        <v>CLP</v>
      </c>
      <c r="Q2" s="2" t="str">
        <f>IF(VLOOKUP(Q1,Hoja1!$B$3:$D$159,3,0)&lt;&gt;"",VLOOKUP(Q1,Hoja1!$B$3:$D$159,3,0)," ")</f>
        <v>Afecto a IVA</v>
      </c>
      <c r="R2" s="107" t="str">
        <f>IF(VLOOKUP(R1,Hoja1!$B$3:$D$159,3,0)&lt;&gt;"",VLOOKUP(R1,Hoja1!$B$3:$D$159,3,0)," ")</f>
        <v>2.342.728.572</v>
      </c>
      <c r="S2" s="2" t="str">
        <f>IF(VLOOKUP(S1,Hoja1!$B$3:$D$159,3,0)&lt;&gt;"",VLOOKUP(S1,Hoja1!$B$3:$D$159,3,0)," ")</f>
        <v>dos mil trescientos cuarenta y dos millones setecientos veintiocho mil quinientos setenta y dos Pesos</v>
      </c>
      <c r="T2" s="2" t="str">
        <f>IF(VLOOKUP(T1,Hoja1!$B$3:$D$159,3,0)&lt;&gt;"",VLOOKUP(T1,Hoja1!$B$3:$D$159,3,0)," ")</f>
        <v>27 de febrero de 2017</v>
      </c>
      <c r="U2" s="2" t="str">
        <f>IF(VLOOKUP(U1,Hoja1!$B$3:$D$159,3,0)&lt;&gt;"",VLOOKUP(U1,Hoja1!$B$3:$D$159,3,0)," ")</f>
        <v>06 de junio de 2017</v>
      </c>
      <c r="V2" s="2">
        <f>IF(VLOOKUP(V1,Hoja1!$B$3:$D$159,3,0)&lt;&gt;"",VLOOKUP(V1,Hoja1!$B$3:$D$159,3,0)," ")</f>
        <v>99</v>
      </c>
      <c r="W2" s="2" t="str">
        <f>IF(VLOOKUP(W1,Hoja1!$B$3:$D$159,3,0)&lt;&gt;"",VLOOKUP(W1,Hoja1!$B$3:$D$159,3,0)," ")</f>
        <v xml:space="preserve"> noventa y nueve </v>
      </c>
      <c r="X2" s="2" t="str">
        <f>IF(VLOOKUP(X1,Hoja1!$B$3:$D$159,3,0)&lt;&gt;"",VLOOKUP(X1,Hoja1!$B$3:$D$159,3,0)," ")</f>
        <v>0,1%</v>
      </c>
      <c r="Y2" s="2" t="str">
        <f>IF(VLOOKUP(Y1,Hoja1!$B$3:$D$159,3,0)&lt;&gt;"",VLOOKUP(Y1,Hoja1!$B$3:$D$159,3,0)," ")</f>
        <v>Sr. Jaime Marín</v>
      </c>
      <c r="Z2" s="2" t="str">
        <f>IF(VLOOKUP(Z1,Hoja1!$B$3:$D$159,3,0)&lt;&gt;"",VLOOKUP(Z1,Hoja1!$B$3:$D$159,3,0)," ")</f>
        <v>Superintendente Tranque de Relaves</v>
      </c>
      <c r="AA2" s="2" t="str">
        <f>IF(VLOOKUP(AA1,Hoja1!$B$3:$D$159,3,0)&lt;&gt;"",VLOOKUP(AA1,Hoja1!$B$3:$D$159,3,0)," ")</f>
        <v>jaime.marin@nuevaunion.cl</v>
      </c>
      <c r="AB2" s="2" t="str">
        <f>IF(VLOOKUP(AB1,Hoja1!$B$3:$D$159,3,0)&lt;&gt;"",VLOOKUP(AB1,Hoja1!$B$3:$D$159,3,0)," ")</f>
        <v>Sr. Michael Leyton</v>
      </c>
      <c r="AC2" s="2" t="str">
        <f>IF(VLOOKUP(AC1,Hoja1!$B$3:$D$159,3,0)&lt;&gt;"",VLOOKUP(AC1,Hoja1!$B$3:$D$159,3,0)," ")</f>
        <v>Administrador de Contratos</v>
      </c>
      <c r="AD2" s="2" t="str">
        <f>IF(VLOOKUP(AD1,Hoja1!$B$3:$D$159,3,0)&lt;&gt;"",VLOOKUP(AD1,Hoja1!$B$3:$D$159,3,0)," ")</f>
        <v>Michael.leyton@nuevaunion.cl</v>
      </c>
      <c r="AE2" s="2" t="str">
        <f>IF(VLOOKUP(AE1,Hoja1!$B$3:$D$159,3,0)&lt;&gt;"",VLOOKUP(AE1,Hoja1!$B$3:$D$159,3,0)," ")</f>
        <v>Oferta Técnica-Económica Contrato N° EM-IN-SC-285 "Servicio de Reabilitación Campamento la Fortuna" Rev. 0</v>
      </c>
      <c r="AF2" s="2" t="str">
        <f>IF(VLOOKUP(AF1,Hoja1!$B$3:$D$159,3,0)&lt;&gt;"",VLOOKUP(AF1,Hoja1!$B$3:$D$159,3,0)," ")</f>
        <v>03 de enero de 2017</v>
      </c>
      <c r="AG2" s="2" t="str">
        <f>IF(VLOOKUP(AG1,Hoja1!$B$3:$D$159,3,0)&lt;&gt;"",VLOOKUP(AG1,Hoja1!$B$3:$D$159,3,0)," ")</f>
        <v>Walter Dropplemann</v>
      </c>
      <c r="AH2" s="2" t="str">
        <f>IF(VLOOKUP(AH1,Hoja1!$B$3:$D$159,3,0)&lt;&gt;"",VLOOKUP(AH1,Hoja1!$B$3:$D$159,3,0)," ")</f>
        <v>Gerente de Proyecto</v>
      </c>
      <c r="AI2" s="2" t="str">
        <f>IF(VLOOKUP(AI1,Hoja1!$B$3:$D$159,3,0)&lt;&gt;"",VLOOKUP(AI1,Hoja1!$B$3:$D$159,3,0)," ")</f>
        <v>Michael Hubbard</v>
      </c>
      <c r="AJ2" s="2" t="str">
        <f>IF(VLOOKUP(AJ1,Hoja1!$B$3:$D$159,3,0)&lt;&gt;"",VLOOKUP(AJ1,Hoja1!$B$3:$D$159,3,0)," ")</f>
        <v>Director de Proyecto</v>
      </c>
      <c r="AK2" s="2" t="str">
        <f>IF(VLOOKUP(AK1,Hoja1!$B$3:$D$159,3,0)&lt;&gt;"",VLOOKUP(AK1,Hoja1!$B$3:$D$159,3,0)," ")</f>
        <v>01 de febrero de 2017</v>
      </c>
      <c r="AL2" s="2" t="str">
        <f>IF(VLOOKUP(AL1,Hoja1!$B$3:$D$159,3,0)&lt;&gt;"",VLOOKUP(AL1,Hoja1!$B$3:$D$159,3,0)," ")</f>
        <v>15</v>
      </c>
      <c r="AM2" s="2" t="str">
        <f>IF(VLOOKUP(AM1,Hoja1!$B$3:$D$159,3,0)&lt;&gt;"",VLOOKUP(AM1,Hoja1!$B$3:$D$159,3,0)," ")</f>
        <v xml:space="preserve"> quince por ciento</v>
      </c>
      <c r="AN2" s="2" t="str">
        <f>IF(VLOOKUP(AN1,Hoja1!$B$3:$D$159,3,0)&lt;&gt;"",VLOOKUP(AN1,Hoja1!$B$3:$D$159,3,0)," ")</f>
        <v>Carta de Compromisos del Contratista</v>
      </c>
      <c r="AO2" s="2" t="str">
        <f>IF(VLOOKUP(AO1,Hoja1!$B$3:$D$159,3,0)&lt;&gt;"",VLOOKUP(AO1,Hoja1!$B$3:$D$159,3,0)," ")</f>
        <v>09 de enero de 2017</v>
      </c>
      <c r="AP2" s="2" t="str">
        <f>IF(VLOOKUP(AP1,Hoja1!$B$3:$D$159,3,0)&lt;&gt;"",VLOOKUP(AP1,Hoja1!$B$3:$D$159,3,0)," ")</f>
        <v xml:space="preserve"> </v>
      </c>
      <c r="AQ2" s="2" t="str">
        <f>IF(VLOOKUP(AQ1,Hoja1!$B$3:$D$159,3,0)&lt;&gt;"",VLOOKUP(AQ1,Hoja1!$B$3:$D$159,3,0)," ")</f>
        <v xml:space="preserve"> </v>
      </c>
      <c r="AR2" s="2" t="str">
        <f>IF(VLOOKUP(AR1,Hoja1!$B$3:$D$159,3,0)&lt;&gt;"",VLOOKUP(AR1,Hoja1!$B$3:$D$159,3,0)," ")</f>
        <v xml:space="preserve"> </v>
      </c>
      <c r="AS2" s="2" t="str">
        <f>IF(VLOOKUP(AS1,Hoja1!$B$3:$D$159,3,0)&lt;&gt;"",VLOOKUP(AS1,Hoja1!$B$3:$D$159,3,0)," ")</f>
        <v xml:space="preserve"> </v>
      </c>
      <c r="AT2" s="2" t="str">
        <f>IF(VLOOKUP(AT1,Hoja1!$B$3:$D$159,3,0)&lt;&gt;"",VLOOKUP(AT1,Hoja1!$B$3:$D$159,3,0)," ")</f>
        <v xml:space="preserve"> </v>
      </c>
      <c r="AU2" s="2" t="str">
        <f>IF(VLOOKUP(AU1,Hoja1!$B$3:$D$159,3,0)&lt;&gt;"",VLOOKUP(AU1,Hoja1!$B$3:$D$159,3,0)," ")</f>
        <v xml:space="preserve"> </v>
      </c>
      <c r="AV2" s="2" t="str">
        <f>IF(VLOOKUP(AV1,Hoja1!$B$3:$D$159,3,0)&lt;&gt;"",VLOOKUP(AV1,Hoja1!$B$3:$D$159,3,0)," ")</f>
        <v xml:space="preserve"> </v>
      </c>
      <c r="AW2" s="2" t="str">
        <f>IF(VLOOKUP(AW1,Hoja1!$B$3:$D$159,3,0)&lt;&gt;"",VLOOKUP(AW1,Hoja1!$B$3:$D$159,3,0)," ")</f>
        <v xml:space="preserve"> </v>
      </c>
      <c r="AX2" s="2" t="str">
        <f>IF(VLOOKUP(AX1,Hoja1!$B$3:$D$159,3,0)&lt;&gt;"",VLOOKUP(AX1,Hoja1!$B$3:$D$159,3,0)," ")</f>
        <v xml:space="preserve"> </v>
      </c>
      <c r="AY2" s="2" t="str">
        <f>IF(VLOOKUP(AY1,Hoja1!$B$3:$D$159,3,0)&lt;&gt;"",VLOOKUP(AY1,Hoja1!$B$3:$D$159,3,0)," ")</f>
        <v xml:space="preserve"> </v>
      </c>
      <c r="AZ2" s="2" t="str">
        <f>IF(VLOOKUP(AZ1,Hoja1!$B$3:$D$159,3,0)&lt;&gt;"",VLOOKUP(AZ1,Hoja1!$B$3:$D$159,3,0)," ")</f>
        <v xml:space="preserve"> </v>
      </c>
      <c r="BA2" s="2" t="str">
        <f>IF(VLOOKUP(BA1,Hoja1!$B$3:$D$159,3,0)&lt;&gt;"",VLOOKUP(BA1,Hoja1!$B$3:$D$159,3,0)," ")</f>
        <v xml:space="preserve"> </v>
      </c>
      <c r="BB2" s="2" t="str">
        <f>IF(VLOOKUP(BB1,Hoja1!$B$3:$D$159,3,0)&lt;&gt;"",VLOOKUP(BB1,Hoja1!$B$3:$D$159,3,0)," ")</f>
        <v xml:space="preserve"> </v>
      </c>
      <c r="BC2" s="2" t="str">
        <f>IF(VLOOKUP(BC1,Hoja1!$B$3:$D$159,3,0)&lt;&gt;"",VLOOKUP(BC1,Hoja1!$B$3:$D$159,3,0)," ")</f>
        <v xml:space="preserve"> </v>
      </c>
      <c r="BD2" s="2" t="str">
        <f>IF(VLOOKUP(BD1,Hoja1!$B$3:$D$159,3,0)&lt;&gt;"",VLOOKUP(BD1,Hoja1!$B$3:$D$159,3,0)," ")</f>
        <v xml:space="preserve"> </v>
      </c>
      <c r="BE2" s="2" t="str">
        <f>IF(VLOOKUP(BE1,Hoja1!$B$3:$D$159,3,0)&lt;&gt;"",VLOOKUP(BE1,Hoja1!$B$3:$D$159,3,0)," ")</f>
        <v xml:space="preserve"> </v>
      </c>
      <c r="BF2" s="2" t="str">
        <f>IF(VLOOKUP(BF1,Hoja1!$B$3:$D$159,3,0)&lt;&gt;"",VLOOKUP(BF1,Hoja1!$B$3:$D$159,3,0)," ")</f>
        <v xml:space="preserve"> </v>
      </c>
      <c r="BG2" s="2" t="str">
        <f>IF(VLOOKUP(BG1,Hoja1!$B$3:$D$159,3,0)&lt;&gt;"",VLOOKUP(BG1,Hoja1!$B$3:$D$159,3,0)," ")</f>
        <v xml:space="preserve"> </v>
      </c>
      <c r="BH2" s="2" t="str">
        <f>IF(VLOOKUP(BH1,Hoja1!$B$3:$D$159,3,0)&lt;&gt;"",VLOOKUP(BH1,Hoja1!$B$3:$D$159,3,0)," ")</f>
        <v xml:space="preserve"> </v>
      </c>
      <c r="BI2" s="2" t="str">
        <f>IF(VLOOKUP(BI1,Hoja1!$B$3:$D$159,3,0)&lt;&gt;"",VLOOKUP(BI1,Hoja1!$B$3:$D$159,3,0)," ")</f>
        <v xml:space="preserve"> </v>
      </c>
      <c r="BJ2" s="2" t="str">
        <f>IF(VLOOKUP(BJ1,Hoja1!$B$3:$D$159,3,0)&lt;&gt;"",VLOOKUP(BJ1,Hoja1!$B$3:$D$159,3,0)," ")</f>
        <v xml:space="preserve"> </v>
      </c>
      <c r="BK2" s="2" t="str">
        <f>IF(VLOOKUP(BK1,Hoja1!$B$3:$D$159,3,0)&lt;&gt;"",VLOOKUP(BK1,Hoja1!$B$3:$D$159,3,0)," ")</f>
        <v xml:space="preserve"> </v>
      </c>
      <c r="BL2" s="2" t="str">
        <f>IF(VLOOKUP(BL1,Hoja1!$B$3:$D$159,3,0)&lt;&gt;"",VLOOKUP(BL1,Hoja1!$B$3:$D$159,3,0)," ")</f>
        <v xml:space="preserve"> </v>
      </c>
      <c r="BM2" s="2" t="str">
        <f>IF(VLOOKUP(BM1,Hoja1!$B$3:$D$159,3,0)&lt;&gt;"",VLOOKUP(BM1,Hoja1!$B$3:$D$159,3,0)," ")</f>
        <v xml:space="preserve"> </v>
      </c>
      <c r="BN2" s="2" t="str">
        <f>IF(VLOOKUP(BN1,Hoja1!$B$3:$D$159,3,0)&lt;&gt;"",VLOOKUP(BN1,Hoja1!$B$3:$D$159,3,0)," ")</f>
        <v xml:space="preserve"> </v>
      </c>
      <c r="BO2" s="2" t="str">
        <f>IF(VLOOKUP(BO1,Hoja1!$B$3:$D$159,3,0)&lt;&gt;"",VLOOKUP(BO1,Hoja1!$B$3:$D$159,3,0)," ")</f>
        <v xml:space="preserve"> </v>
      </c>
      <c r="BP2" s="2" t="str">
        <f>IF(VLOOKUP(BP1,Hoja1!$B$3:$D$159,3,0)&lt;&gt;"",VLOOKUP(BP1,Hoja1!$B$3:$D$159,3,0)," ")</f>
        <v xml:space="preserve"> </v>
      </c>
      <c r="BQ2" s="2" t="str">
        <f>IF(VLOOKUP(BQ1,Hoja1!$B$3:$D$159,3,0)&lt;&gt;"",VLOOKUP(BQ1,Hoja1!$B$3:$D$159,3,0)," ")</f>
        <v xml:space="preserve"> </v>
      </c>
      <c r="BR2" s="2" t="str">
        <f>IF(VLOOKUP(BR1,Hoja1!$B$3:$D$159,3,0)&lt;&gt;"",VLOOKUP(BR1,Hoja1!$B$3:$D$159,3,0)," ")</f>
        <v xml:space="preserve"> </v>
      </c>
      <c r="BS2" s="2" t="str">
        <f>IF(VLOOKUP(BS1,Hoja1!$B$3:$D$159,3,0)&lt;&gt;"",VLOOKUP(BS1,Hoja1!$B$3:$D$159,3,0)," ")</f>
        <v xml:space="preserve"> </v>
      </c>
      <c r="BT2" s="2" t="str">
        <f>IF(VLOOKUP(BT1,Hoja1!$B$3:$D$159,3,0)&lt;&gt;"",VLOOKUP(BT1,Hoja1!$B$3:$D$159,3,0)," ")</f>
        <v xml:space="preserve"> </v>
      </c>
      <c r="BU2" s="2" t="str">
        <f>IF(VLOOKUP(BU1,Hoja1!$B$3:$D$159,3,0)&lt;&gt;"",VLOOKUP(BU1,Hoja1!$B$3:$D$159,3,0)," ")</f>
        <v xml:space="preserve"> </v>
      </c>
      <c r="BV2" s="2" t="str">
        <f>IF(VLOOKUP(BV1,Hoja1!$B$3:$D$159,3,0)&lt;&gt;"",VLOOKUP(BV1,Hoja1!$B$3:$D$159,3,0)," ")</f>
        <v xml:space="preserve"> </v>
      </c>
      <c r="BW2" s="2" t="str">
        <f>IF(VLOOKUP(BW1,Hoja1!$B$3:$D$159,3,0)&lt;&gt;"",VLOOKUP(BW1,Hoja1!$B$3:$D$159,3,0)," ")</f>
        <v xml:space="preserve"> </v>
      </c>
      <c r="BX2" s="2" t="str">
        <f>IF(VLOOKUP(BX1,Hoja1!$B$3:$D$159,3,0)&lt;&gt;"",VLOOKUP(BX1,Hoja1!$B$3:$D$159,3,0)," ")</f>
        <v xml:space="preserve"> </v>
      </c>
      <c r="BY2" s="2" t="str">
        <f>IF(VLOOKUP(BY1,Hoja1!$B$3:$D$159,3,0)&lt;&gt;"",VLOOKUP(BY1,Hoja1!$B$3:$D$159,3,0)," ")</f>
        <v xml:space="preserve"> </v>
      </c>
      <c r="BZ2" s="2" t="str">
        <f>IF(VLOOKUP(BZ1,Hoja1!$B$3:$D$159,3,0)&lt;&gt;"",VLOOKUP(BZ1,Hoja1!$B$3:$D$159,3,0)," ")</f>
        <v xml:space="preserve"> </v>
      </c>
      <c r="CA2" s="2" t="str">
        <f>IF(VLOOKUP(CA1,Hoja1!$B$3:$D$159,3,0)&lt;&gt;"",VLOOKUP(CA1,Hoja1!$B$3:$D$159,3,0)," ")</f>
        <v xml:space="preserve"> </v>
      </c>
      <c r="CB2" s="2" t="str">
        <f>IF(VLOOKUP(CB1,Hoja1!$B$3:$D$159,3,0)&lt;&gt;"",VLOOKUP(CB1,Hoja1!$B$3:$D$159,3,0)," ")</f>
        <v xml:space="preserve"> </v>
      </c>
      <c r="CC2" s="2" t="str">
        <f>IF(VLOOKUP(CC1,Hoja1!$B$3:$D$159,3,0)&lt;&gt;"",VLOOKUP(CC1,Hoja1!$B$3:$D$159,3,0)," ")</f>
        <v xml:space="preserve"> </v>
      </c>
      <c r="CD2" s="2" t="str">
        <f>IF(VLOOKUP(CD1,Hoja1!$B$3:$D$159,3,0)&lt;&gt;"",VLOOKUP(CD1,Hoja1!$B$3:$D$159,3,0)," ")</f>
        <v xml:space="preserve"> </v>
      </c>
      <c r="CE2" s="2" t="str">
        <f>IF(VLOOKUP(CE1,Hoja1!$B$3:$D$159,3,0)&lt;&gt;"",VLOOKUP(CE1,Hoja1!$B$3:$D$159,3,0)," ")</f>
        <v xml:space="preserve"> </v>
      </c>
      <c r="CF2" s="2" t="str">
        <f>IF(VLOOKUP(CF1,Hoja1!$B$3:$D$159,3,0)&lt;&gt;"",VLOOKUP(CF1,Hoja1!$B$3:$D$159,3,0)," ")</f>
        <v xml:space="preserve"> </v>
      </c>
      <c r="CG2" s="2" t="str">
        <f>IF(VLOOKUP(CG1,Hoja1!$B$3:$D$159,3,0)&lt;&gt;"",VLOOKUP(CG1,Hoja1!$B$3:$D$159,3,0)," ")</f>
        <v xml:space="preserve"> </v>
      </c>
      <c r="CH2" s="2" t="str">
        <f>IF(VLOOKUP(CH1,Hoja1!$B$3:$D$159,3,0)&lt;&gt;"",VLOOKUP(CH1,Hoja1!$B$3:$D$159,3,0)," ")</f>
        <v xml:space="preserve"> </v>
      </c>
      <c r="CI2" s="2" t="e">
        <f>IF(VLOOKUP(CI1,Hoja1!$B$3:$D$159,3,0)&lt;&gt;"",VLOOKUP(CI1,Hoja1!$B$3:$D$159,3,0)," ")</f>
        <v>#N/A</v>
      </c>
      <c r="CJ2" s="2" t="e">
        <f>IF(VLOOKUP(CJ1,Hoja1!$B$3:$D$159,3,0)&lt;&gt;"",VLOOKUP(CJ1,Hoja1!$B$3:$D$159,3,0)," ")</f>
        <v>#N/A</v>
      </c>
      <c r="CK2" s="2" t="e">
        <f>IF(VLOOKUP(CK1,Hoja1!$B$3:$D$159,3,0)&lt;&gt;"",VLOOKUP(CK1,Hoja1!$B$3:$D$159,3,0)," ")</f>
        <v>#N/A</v>
      </c>
      <c r="CL2" s="2" t="e">
        <f>IF(VLOOKUP(CL1,Hoja1!$B$3:$D$159,3,0)&lt;&gt;"",VLOOKUP(CL1,Hoja1!$B$3:$D$159,3,0)," ")</f>
        <v>#N/A</v>
      </c>
      <c r="CM2" s="2" t="e">
        <f>IF(VLOOKUP(CM1,Hoja1!$B$3:$D$159,3,0)&lt;&gt;"",VLOOKUP(CM1,Hoja1!$B$3:$D$159,3,0)," ")</f>
        <v>#N/A</v>
      </c>
      <c r="CN2" s="2" t="e">
        <f>IF(VLOOKUP(CN1,Hoja1!$B$3:$D$159,3,0)&lt;&gt;"",VLOOKUP(CN1,Hoja1!$B$3:$D$159,3,0)," ")</f>
        <v>#N/A</v>
      </c>
      <c r="CO2" s="2" t="e">
        <f>IF(VLOOKUP(CO1,Hoja1!$B$3:$D$159,3,0)&lt;&gt;"",VLOOKUP(CO1,Hoja1!$B$3:$D$159,3,0)," ")</f>
        <v>#N/A</v>
      </c>
      <c r="CP2" s="2" t="e">
        <f>IF(VLOOKUP(CP1,Hoja1!$B$3:$D$159,3,0)&lt;&gt;"",VLOOKUP(CP1,Hoja1!$B$3:$D$159,3,0)," ")</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2:K32"/>
  <sheetViews>
    <sheetView topLeftCell="A4" workbookViewId="0">
      <selection activeCell="B8" sqref="B8"/>
    </sheetView>
  </sheetViews>
  <sheetFormatPr baseColWidth="10" defaultRowHeight="15" x14ac:dyDescent="0.2"/>
  <cols>
    <col min="3" max="3" width="46.5" customWidth="1"/>
    <col min="10" max="10" width="18.5" customWidth="1"/>
  </cols>
  <sheetData>
    <row r="2" spans="1:11" x14ac:dyDescent="0.2">
      <c r="A2" s="25" t="s">
        <v>138</v>
      </c>
    </row>
    <row r="3" spans="1:11" x14ac:dyDescent="0.2">
      <c r="B3" t="s">
        <v>139</v>
      </c>
      <c r="C3" s="24" t="str">
        <f>Hoja1!D12</f>
        <v>NU-IN-SC-281</v>
      </c>
    </row>
    <row r="4" spans="1:11" x14ac:dyDescent="0.2">
      <c r="B4" t="s">
        <v>140</v>
      </c>
      <c r="C4" s="24" t="str">
        <f>Hoja1!D14</f>
        <v>Sondajes Quebrada La Fortuna, Campaña 2017</v>
      </c>
    </row>
    <row r="6" spans="1:11" x14ac:dyDescent="0.2">
      <c r="B6" s="14" t="str">
        <f>"Cuadro Precio Contrato "&amp;C3&amp;" '"&amp;C4&amp;"' "</f>
        <v xml:space="preserve">Cuadro Precio Contrato NU-IN-SC-281 'Sondajes Quebrada La Fortuna, Campaña 2017' </v>
      </c>
    </row>
    <row r="8" spans="1:11" ht="30" x14ac:dyDescent="0.2">
      <c r="B8" s="34" t="s">
        <v>141</v>
      </c>
      <c r="C8" s="34" t="s">
        <v>142</v>
      </c>
      <c r="D8" s="34" t="s">
        <v>143</v>
      </c>
      <c r="E8" s="34" t="s">
        <v>144</v>
      </c>
      <c r="F8" s="35" t="s">
        <v>145</v>
      </c>
      <c r="G8" s="35" t="s">
        <v>187</v>
      </c>
      <c r="H8" s="35" t="s">
        <v>146</v>
      </c>
    </row>
    <row r="9" spans="1:11" ht="17.25" customHeight="1" x14ac:dyDescent="0.2">
      <c r="B9" s="15">
        <v>1</v>
      </c>
      <c r="C9" s="22" t="s">
        <v>177</v>
      </c>
      <c r="D9" s="15"/>
      <c r="E9" s="26"/>
      <c r="F9" s="28"/>
      <c r="G9" s="26"/>
      <c r="H9" s="28"/>
      <c r="K9" s="18"/>
    </row>
    <row r="10" spans="1:11" ht="17.25" customHeight="1" x14ac:dyDescent="0.2">
      <c r="B10" s="15"/>
      <c r="C10" s="22" t="s">
        <v>178</v>
      </c>
      <c r="D10" s="15" t="s">
        <v>184</v>
      </c>
      <c r="E10" s="26">
        <v>1</v>
      </c>
      <c r="F10" s="32">
        <v>530.5</v>
      </c>
      <c r="G10" s="26">
        <v>25</v>
      </c>
      <c r="H10" s="32">
        <v>530.5</v>
      </c>
      <c r="K10" s="18"/>
    </row>
    <row r="11" spans="1:11" ht="17.25" customHeight="1" x14ac:dyDescent="0.2">
      <c r="B11" s="15"/>
      <c r="C11" s="22" t="s">
        <v>179</v>
      </c>
      <c r="D11" s="15" t="s">
        <v>184</v>
      </c>
      <c r="E11" s="26">
        <v>1</v>
      </c>
      <c r="F11" s="32">
        <v>1901</v>
      </c>
      <c r="G11" s="26">
        <v>50</v>
      </c>
      <c r="H11" s="32">
        <v>1901</v>
      </c>
      <c r="K11" s="18"/>
    </row>
    <row r="12" spans="1:11" ht="17.25" customHeight="1" x14ac:dyDescent="0.2">
      <c r="B12" s="15"/>
      <c r="C12" s="22" t="s">
        <v>180</v>
      </c>
      <c r="D12" s="15" t="s">
        <v>184</v>
      </c>
      <c r="E12" s="26">
        <v>1</v>
      </c>
      <c r="F12" s="32">
        <v>807</v>
      </c>
      <c r="G12" s="26">
        <v>200</v>
      </c>
      <c r="H12" s="32">
        <v>807</v>
      </c>
      <c r="K12" s="18"/>
    </row>
    <row r="13" spans="1:11" ht="17.25" customHeight="1" x14ac:dyDescent="0.2">
      <c r="B13" s="15"/>
      <c r="C13" s="22" t="s">
        <v>181</v>
      </c>
      <c r="D13" s="15" t="s">
        <v>184</v>
      </c>
      <c r="E13" s="26">
        <v>1</v>
      </c>
      <c r="F13" s="32">
        <v>0</v>
      </c>
      <c r="G13" s="26">
        <v>0</v>
      </c>
      <c r="H13" s="32">
        <v>0</v>
      </c>
      <c r="K13" s="18"/>
    </row>
    <row r="14" spans="1:11" ht="17.25" customHeight="1" x14ac:dyDescent="0.2">
      <c r="B14" s="15"/>
      <c r="C14" s="22" t="s">
        <v>182</v>
      </c>
      <c r="D14" s="15" t="s">
        <v>184</v>
      </c>
      <c r="E14" s="26">
        <v>1</v>
      </c>
      <c r="F14" s="32">
        <v>156</v>
      </c>
      <c r="G14" s="26">
        <v>25</v>
      </c>
      <c r="H14" s="32">
        <v>156</v>
      </c>
      <c r="K14" s="18"/>
    </row>
    <row r="15" spans="1:11" ht="17.25" customHeight="1" x14ac:dyDescent="0.2">
      <c r="B15" s="15"/>
      <c r="C15" s="22"/>
      <c r="D15" s="15"/>
      <c r="E15" s="26"/>
      <c r="F15" s="32"/>
      <c r="G15" s="26"/>
      <c r="H15" s="32"/>
      <c r="K15" s="18"/>
    </row>
    <row r="16" spans="1:11" ht="17.25" customHeight="1" x14ac:dyDescent="0.2">
      <c r="B16" s="15"/>
      <c r="C16" s="22" t="s">
        <v>183</v>
      </c>
      <c r="D16" s="15" t="s">
        <v>184</v>
      </c>
      <c r="E16" s="26">
        <v>1</v>
      </c>
      <c r="F16" s="32"/>
      <c r="G16" s="26"/>
      <c r="H16" s="32"/>
      <c r="K16" s="18"/>
    </row>
    <row r="17" spans="1:11" ht="17.25" customHeight="1" x14ac:dyDescent="0.2">
      <c r="B17" s="15"/>
      <c r="C17" s="22" t="s">
        <v>178</v>
      </c>
      <c r="D17" s="15" t="s">
        <v>184</v>
      </c>
      <c r="E17" s="26">
        <v>1</v>
      </c>
      <c r="F17" s="32">
        <v>270</v>
      </c>
      <c r="G17" s="26">
        <v>25</v>
      </c>
      <c r="H17" s="32">
        <v>270</v>
      </c>
      <c r="K17" s="18"/>
    </row>
    <row r="18" spans="1:11" ht="17.25" customHeight="1" x14ac:dyDescent="0.2">
      <c r="B18" s="15"/>
      <c r="C18" s="22" t="s">
        <v>179</v>
      </c>
      <c r="D18" s="15" t="s">
        <v>184</v>
      </c>
      <c r="E18" s="26">
        <v>1</v>
      </c>
      <c r="F18" s="32">
        <v>603</v>
      </c>
      <c r="G18" s="26">
        <v>50</v>
      </c>
      <c r="H18" s="32">
        <v>603</v>
      </c>
      <c r="K18" s="18"/>
    </row>
    <row r="19" spans="1:11" ht="17.25" customHeight="1" x14ac:dyDescent="0.2">
      <c r="B19" s="15"/>
      <c r="C19" s="22" t="s">
        <v>180</v>
      </c>
      <c r="D19" s="15" t="s">
        <v>184</v>
      </c>
      <c r="E19" s="26">
        <v>1</v>
      </c>
      <c r="F19" s="32">
        <v>888</v>
      </c>
      <c r="G19" s="26">
        <v>200</v>
      </c>
      <c r="H19" s="32">
        <v>888</v>
      </c>
      <c r="K19" s="18"/>
    </row>
    <row r="20" spans="1:11" ht="17.25" customHeight="1" x14ac:dyDescent="0.2">
      <c r="B20" s="15"/>
      <c r="C20" s="22" t="s">
        <v>181</v>
      </c>
      <c r="D20" s="15" t="s">
        <v>184</v>
      </c>
      <c r="E20" s="26">
        <v>1</v>
      </c>
      <c r="F20" s="32">
        <v>0</v>
      </c>
      <c r="G20" s="26">
        <v>0</v>
      </c>
      <c r="H20" s="32">
        <v>0</v>
      </c>
      <c r="K20" s="18"/>
    </row>
    <row r="21" spans="1:11" ht="19.5" customHeight="1" x14ac:dyDescent="0.2">
      <c r="B21" s="15"/>
      <c r="C21" s="22" t="s">
        <v>182</v>
      </c>
      <c r="D21" s="16" t="s">
        <v>184</v>
      </c>
      <c r="E21" s="17">
        <v>1</v>
      </c>
      <c r="F21" s="33">
        <v>168</v>
      </c>
      <c r="G21" s="17">
        <v>25</v>
      </c>
      <c r="H21" s="33">
        <v>168</v>
      </c>
      <c r="K21" s="19"/>
    </row>
    <row r="22" spans="1:11" ht="19.5" customHeight="1" x14ac:dyDescent="0.2">
      <c r="B22" s="15"/>
      <c r="C22" s="23"/>
      <c r="D22" s="16"/>
      <c r="E22" s="17"/>
      <c r="F22" s="29"/>
      <c r="G22" s="17"/>
      <c r="H22" s="29"/>
      <c r="K22" s="3"/>
    </row>
    <row r="23" spans="1:11" ht="19.5" customHeight="1" x14ac:dyDescent="0.2">
      <c r="B23" s="15"/>
      <c r="C23" s="22" t="s">
        <v>185</v>
      </c>
      <c r="D23" s="16"/>
      <c r="E23" s="17"/>
      <c r="F23" s="29"/>
      <c r="G23" s="17"/>
      <c r="H23" s="33">
        <v>1475</v>
      </c>
      <c r="K23" s="3"/>
    </row>
    <row r="24" spans="1:11" ht="14.25" customHeight="1" x14ac:dyDescent="0.2">
      <c r="B24" s="15"/>
      <c r="C24" s="22"/>
      <c r="D24" s="16"/>
      <c r="E24" s="17"/>
      <c r="F24" s="29"/>
      <c r="G24" s="17"/>
      <c r="H24" s="29"/>
      <c r="K24" s="3"/>
    </row>
    <row r="25" spans="1:11" x14ac:dyDescent="0.2">
      <c r="B25" s="20"/>
      <c r="C25" s="21" t="s">
        <v>186</v>
      </c>
      <c r="D25" s="21"/>
      <c r="E25" s="21"/>
      <c r="F25" s="21"/>
      <c r="G25" s="30"/>
      <c r="H25" s="31">
        <f>H23+SUM(H10:H21)</f>
        <v>6798.5</v>
      </c>
      <c r="K25" s="3"/>
    </row>
    <row r="32" spans="1:11" x14ac:dyDescent="0.2">
      <c r="A32" s="25" t="s">
        <v>147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38"/>
  <sheetViews>
    <sheetView workbookViewId="0">
      <selection activeCell="E17" sqref="E17"/>
    </sheetView>
  </sheetViews>
  <sheetFormatPr baseColWidth="10" defaultRowHeight="15" x14ac:dyDescent="0.2"/>
  <cols>
    <col min="2" max="2" width="53.83203125" bestFit="1" customWidth="1"/>
    <col min="3" max="3" width="32.1640625" bestFit="1" customWidth="1"/>
    <col min="4" max="4" width="20.83203125" bestFit="1" customWidth="1"/>
    <col min="5" max="5" width="23" bestFit="1" customWidth="1"/>
  </cols>
  <sheetData>
    <row r="1" spans="2:5" x14ac:dyDescent="0.2">
      <c r="C1" t="s">
        <v>273</v>
      </c>
      <c r="D1" t="s">
        <v>274</v>
      </c>
    </row>
    <row r="2" spans="2:5" x14ac:dyDescent="0.2">
      <c r="B2" t="s">
        <v>275</v>
      </c>
      <c r="C2" t="s">
        <v>276</v>
      </c>
      <c r="D2" t="s">
        <v>108</v>
      </c>
      <c r="E2" t="s">
        <v>277</v>
      </c>
    </row>
    <row r="3" spans="2:5" x14ac:dyDescent="0.2">
      <c r="B3" t="s">
        <v>278</v>
      </c>
      <c r="C3" t="s">
        <v>111</v>
      </c>
      <c r="D3" t="s">
        <v>111</v>
      </c>
      <c r="E3" t="s">
        <v>279</v>
      </c>
    </row>
    <row r="4" spans="2:5" x14ac:dyDescent="0.2">
      <c r="B4" t="s">
        <v>280</v>
      </c>
      <c r="C4" t="s">
        <v>111</v>
      </c>
      <c r="D4" t="s">
        <v>111</v>
      </c>
      <c r="E4" t="s">
        <v>279</v>
      </c>
    </row>
    <row r="5" spans="2:5" x14ac:dyDescent="0.2">
      <c r="B5" t="s">
        <v>281</v>
      </c>
      <c r="C5" t="s">
        <v>111</v>
      </c>
      <c r="D5" t="s">
        <v>111</v>
      </c>
      <c r="E5" t="s">
        <v>279</v>
      </c>
    </row>
    <row r="6" spans="2:5" x14ac:dyDescent="0.2">
      <c r="B6" t="s">
        <v>282</v>
      </c>
      <c r="C6" t="s">
        <v>111</v>
      </c>
      <c r="D6" t="s">
        <v>111</v>
      </c>
      <c r="E6" t="s">
        <v>279</v>
      </c>
    </row>
    <row r="7" spans="2:5" x14ac:dyDescent="0.2">
      <c r="B7" t="s">
        <v>283</v>
      </c>
      <c r="C7" t="s">
        <v>284</v>
      </c>
      <c r="D7" t="s">
        <v>284</v>
      </c>
      <c r="E7" t="s">
        <v>285</v>
      </c>
    </row>
    <row r="8" spans="2:5" x14ac:dyDescent="0.2">
      <c r="B8" t="s">
        <v>286</v>
      </c>
      <c r="C8" t="s">
        <v>111</v>
      </c>
      <c r="D8" t="s">
        <v>111</v>
      </c>
      <c r="E8" t="s">
        <v>279</v>
      </c>
    </row>
    <row r="9" spans="2:5" x14ac:dyDescent="0.2">
      <c r="B9" t="s">
        <v>287</v>
      </c>
      <c r="C9" t="s">
        <v>111</v>
      </c>
      <c r="D9" t="str">
        <f>+C9</f>
        <v>Julio Retamal</v>
      </c>
      <c r="E9" t="s">
        <v>279</v>
      </c>
    </row>
    <row r="10" spans="2:5" x14ac:dyDescent="0.2">
      <c r="B10" t="s">
        <v>288</v>
      </c>
      <c r="C10" t="s">
        <v>111</v>
      </c>
      <c r="D10" t="s">
        <v>111</v>
      </c>
      <c r="E10" t="s">
        <v>279</v>
      </c>
    </row>
    <row r="11" spans="2:5" x14ac:dyDescent="0.2">
      <c r="B11" t="s">
        <v>289</v>
      </c>
      <c r="C11" t="s">
        <v>108</v>
      </c>
      <c r="D11" t="s">
        <v>108</v>
      </c>
      <c r="E11" t="s">
        <v>290</v>
      </c>
    </row>
    <row r="12" spans="2:5" x14ac:dyDescent="0.2">
      <c r="B12" t="s">
        <v>291</v>
      </c>
      <c r="C12" t="s">
        <v>292</v>
      </c>
      <c r="D12" t="s">
        <v>109</v>
      </c>
      <c r="E12" t="s">
        <v>293</v>
      </c>
    </row>
    <row r="13" spans="2:5" x14ac:dyDescent="0.2">
      <c r="B13" t="s">
        <v>294</v>
      </c>
      <c r="C13" t="s">
        <v>108</v>
      </c>
      <c r="D13" t="s">
        <v>108</v>
      </c>
      <c r="E13" t="s">
        <v>290</v>
      </c>
    </row>
    <row r="14" spans="2:5" x14ac:dyDescent="0.2">
      <c r="B14" t="s">
        <v>295</v>
      </c>
      <c r="C14" t="s">
        <v>108</v>
      </c>
      <c r="D14" t="s">
        <v>108</v>
      </c>
      <c r="E14" t="s">
        <v>290</v>
      </c>
    </row>
    <row r="15" spans="2:5" x14ac:dyDescent="0.2">
      <c r="B15" t="s">
        <v>296</v>
      </c>
      <c r="C15" t="s">
        <v>108</v>
      </c>
      <c r="D15" t="s">
        <v>108</v>
      </c>
      <c r="E15" t="s">
        <v>290</v>
      </c>
    </row>
    <row r="16" spans="2:5" x14ac:dyDescent="0.2">
      <c r="B16" t="s">
        <v>297</v>
      </c>
      <c r="C16" t="s">
        <v>108</v>
      </c>
      <c r="D16" t="s">
        <v>108</v>
      </c>
      <c r="E16" t="s">
        <v>290</v>
      </c>
    </row>
    <row r="17" spans="2:5" x14ac:dyDescent="0.2">
      <c r="B17" t="s">
        <v>298</v>
      </c>
      <c r="C17" t="s">
        <v>108</v>
      </c>
      <c r="D17" t="s">
        <v>108</v>
      </c>
      <c r="E17" t="s">
        <v>290</v>
      </c>
    </row>
    <row r="18" spans="2:5" x14ac:dyDescent="0.2">
      <c r="B18" t="s">
        <v>299</v>
      </c>
      <c r="C18" t="s">
        <v>108</v>
      </c>
      <c r="D18" t="s">
        <v>108</v>
      </c>
      <c r="E18" t="s">
        <v>290</v>
      </c>
    </row>
    <row r="19" spans="2:5" x14ac:dyDescent="0.2">
      <c r="B19" t="s">
        <v>300</v>
      </c>
      <c r="C19" t="s">
        <v>108</v>
      </c>
      <c r="D19" t="s">
        <v>108</v>
      </c>
      <c r="E19" t="s">
        <v>290</v>
      </c>
    </row>
    <row r="20" spans="2:5" x14ac:dyDescent="0.2">
      <c r="B20" t="s">
        <v>301</v>
      </c>
      <c r="C20" t="s">
        <v>108</v>
      </c>
      <c r="D20" t="s">
        <v>108</v>
      </c>
      <c r="E20" t="s">
        <v>290</v>
      </c>
    </row>
    <row r="21" spans="2:5" x14ac:dyDescent="0.2">
      <c r="B21" t="s">
        <v>302</v>
      </c>
      <c r="C21" t="s">
        <v>108</v>
      </c>
      <c r="D21" t="s">
        <v>108</v>
      </c>
      <c r="E21" t="s">
        <v>290</v>
      </c>
    </row>
    <row r="22" spans="2:5" x14ac:dyDescent="0.2">
      <c r="B22" t="s">
        <v>303</v>
      </c>
      <c r="C22" t="s">
        <v>304</v>
      </c>
      <c r="D22" t="s">
        <v>108</v>
      </c>
      <c r="E22" t="s">
        <v>290</v>
      </c>
    </row>
    <row r="23" spans="2:5" x14ac:dyDescent="0.2">
      <c r="B23" t="s">
        <v>305</v>
      </c>
      <c r="C23" t="s">
        <v>304</v>
      </c>
      <c r="D23" t="s">
        <v>108</v>
      </c>
      <c r="E23" t="s">
        <v>290</v>
      </c>
    </row>
    <row r="24" spans="2:5" x14ac:dyDescent="0.2">
      <c r="B24" t="s">
        <v>306</v>
      </c>
      <c r="C24" t="s">
        <v>304</v>
      </c>
      <c r="D24" t="s">
        <v>108</v>
      </c>
      <c r="E24" t="s">
        <v>290</v>
      </c>
    </row>
    <row r="25" spans="2:5" x14ac:dyDescent="0.2">
      <c r="B25" t="s">
        <v>307</v>
      </c>
      <c r="C25" t="s">
        <v>108</v>
      </c>
      <c r="D25" t="s">
        <v>108</v>
      </c>
      <c r="E25" t="s">
        <v>290</v>
      </c>
    </row>
    <row r="26" spans="2:5" x14ac:dyDescent="0.2">
      <c r="B26" t="s">
        <v>308</v>
      </c>
      <c r="C26" t="s">
        <v>276</v>
      </c>
      <c r="D26" t="s">
        <v>108</v>
      </c>
      <c r="E26" t="s">
        <v>290</v>
      </c>
    </row>
    <row r="27" spans="2:5" x14ac:dyDescent="0.2">
      <c r="B27" t="s">
        <v>309</v>
      </c>
      <c r="C27" t="s">
        <v>117</v>
      </c>
      <c r="D27" t="s">
        <v>117</v>
      </c>
      <c r="E27" t="s">
        <v>310</v>
      </c>
    </row>
    <row r="28" spans="2:5" x14ac:dyDescent="0.2">
      <c r="B28" t="s">
        <v>311</v>
      </c>
      <c r="C28" t="s">
        <v>117</v>
      </c>
      <c r="D28" t="s">
        <v>117</v>
      </c>
      <c r="E28" t="s">
        <v>310</v>
      </c>
    </row>
    <row r="29" spans="2:5" x14ac:dyDescent="0.2">
      <c r="B29" t="s">
        <v>312</v>
      </c>
      <c r="C29" t="s">
        <v>117</v>
      </c>
      <c r="D29" t="s">
        <v>117</v>
      </c>
      <c r="E29" t="s">
        <v>310</v>
      </c>
    </row>
    <row r="30" spans="2:5" x14ac:dyDescent="0.2">
      <c r="B30" t="s">
        <v>313</v>
      </c>
      <c r="C30" t="s">
        <v>117</v>
      </c>
      <c r="D30" t="s">
        <v>117</v>
      </c>
      <c r="E30" t="s">
        <v>310</v>
      </c>
    </row>
    <row r="31" spans="2:5" x14ac:dyDescent="0.2">
      <c r="B31" t="s">
        <v>314</v>
      </c>
      <c r="C31" t="s">
        <v>109</v>
      </c>
      <c r="D31" t="s">
        <v>109</v>
      </c>
      <c r="E31" t="s">
        <v>315</v>
      </c>
    </row>
    <row r="32" spans="2:5" x14ac:dyDescent="0.2">
      <c r="B32" t="s">
        <v>316</v>
      </c>
      <c r="C32" t="s">
        <v>292</v>
      </c>
      <c r="D32" t="s">
        <v>109</v>
      </c>
      <c r="E32" t="s">
        <v>315</v>
      </c>
    </row>
    <row r="33" spans="2:5" x14ac:dyDescent="0.2">
      <c r="B33" t="s">
        <v>317</v>
      </c>
      <c r="C33" t="s">
        <v>292</v>
      </c>
      <c r="D33" t="s">
        <v>109</v>
      </c>
      <c r="E33" t="s">
        <v>315</v>
      </c>
    </row>
    <row r="34" spans="2:5" x14ac:dyDescent="0.2">
      <c r="B34" t="s">
        <v>318</v>
      </c>
      <c r="C34" t="s">
        <v>109</v>
      </c>
      <c r="D34" t="s">
        <v>109</v>
      </c>
      <c r="E34" t="s">
        <v>315</v>
      </c>
    </row>
    <row r="35" spans="2:5" x14ac:dyDescent="0.2">
      <c r="B35" t="s">
        <v>319</v>
      </c>
      <c r="C35" t="s">
        <v>109</v>
      </c>
      <c r="D35" t="s">
        <v>109</v>
      </c>
      <c r="E35" t="s">
        <v>315</v>
      </c>
    </row>
    <row r="36" spans="2:5" x14ac:dyDescent="0.2">
      <c r="B36" t="s">
        <v>320</v>
      </c>
      <c r="C36" t="s">
        <v>109</v>
      </c>
      <c r="D36" t="s">
        <v>109</v>
      </c>
      <c r="E36" t="s">
        <v>315</v>
      </c>
    </row>
    <row r="37" spans="2:5" x14ac:dyDescent="0.2">
      <c r="B37" t="s">
        <v>321</v>
      </c>
      <c r="C37" t="s">
        <v>108</v>
      </c>
      <c r="D37" t="s">
        <v>108</v>
      </c>
      <c r="E37" t="s">
        <v>290</v>
      </c>
    </row>
    <row r="38" spans="2:5" x14ac:dyDescent="0.2">
      <c r="B38" t="s">
        <v>322</v>
      </c>
      <c r="C38" t="s">
        <v>108</v>
      </c>
      <c r="D38" t="s">
        <v>108</v>
      </c>
      <c r="E38" t="s">
        <v>290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15. Ceco y Dueños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Leyton</dc:creator>
  <cp:lastModifiedBy>Michael Leyton</cp:lastModifiedBy>
  <cp:lastPrinted>2017-04-14T20:56:06Z</cp:lastPrinted>
  <dcterms:created xsi:type="dcterms:W3CDTF">2016-07-06T11:46:42Z</dcterms:created>
  <dcterms:modified xsi:type="dcterms:W3CDTF">2017-04-17T10:24:04Z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b812f4f7-13b9-400e-97b2-c4c733d2c783</vt:lpwstr>
  </property>
</Properties>
</file>