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ichael.leyton\MiDjango_\tutorial_P3_4\"/>
    </mc:Choice>
  </mc:AlternateContent>
  <bookViews>
    <workbookView xWindow="0" yWindow="0" windowWidth="20490" windowHeight="7530" activeTab="1"/>
  </bookViews>
  <sheets>
    <sheet name="Ficha Contrato" sheetId="7" r:id="rId1"/>
    <sheet name="Caratula EDP Final" sheetId="3" r:id="rId2"/>
    <sheet name="EDP Dev Retenciones" sheetId="5" r:id="rId3"/>
    <sheet name="ACTA DE RECEP" sheetId="1" r:id="rId4"/>
    <sheet name="Finiquito OS" sheetId="4" r:id="rId5"/>
    <sheet name="Datos" sheetId="6" r:id="rId6"/>
    <sheet name="Hoja1" sheetId="2" r:id="rId7"/>
  </sheets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\a">#N/A</definedName>
    <definedName name="_9654_TP_Spoolanzahl" localSheetId="0">#REF!</definedName>
    <definedName name="_9654_TP_Spoolanzahl">#REF!</definedName>
    <definedName name="_FHE7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FHE7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FHE7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FHE7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jy5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jy5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jy5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jy5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LOG1" localSheetId="0">#REF!</definedName>
    <definedName name="_LOG1">#REF!</definedName>
    <definedName name="_tyl2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tyl2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tyl2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tyl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us96" localSheetId="0">#REF!</definedName>
    <definedName name="_us96">#REF!</definedName>
    <definedName name="_zx2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zx2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zx2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zx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_impresión_IM" localSheetId="0">#REF!</definedName>
    <definedName name="A_impresión_IM">#REF!</definedName>
    <definedName name="aa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a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a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a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aa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aa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aa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aa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aaa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b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b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b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b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CERO">#N/A</definedName>
    <definedName name="ACON" localSheetId="0">#REF!</definedName>
    <definedName name="ACON">#REF!</definedName>
    <definedName name="ACT" localSheetId="0">#REF!</definedName>
    <definedName name="ACT">#REF!</definedName>
    <definedName name="AIMP" localSheetId="0">#REF!</definedName>
    <definedName name="AIMP">#REF!</definedName>
    <definedName name="Alternativa" localSheetId="0">#REF!</definedName>
    <definedName name="Alternativa">#REF!</definedName>
    <definedName name="ANAC" localSheetId="0">#REF!</definedName>
    <definedName name="ANAC">#REF!</definedName>
    <definedName name="Año" localSheetId="0">#REF!</definedName>
    <definedName name="Año">#REF!</definedName>
    <definedName name="API" localSheetId="0">#REF!</definedName>
    <definedName name="API">#REF!</definedName>
    <definedName name="_xlnm.Print_Area" localSheetId="1">'Caratula EDP Final'!$A$1:$F$64</definedName>
    <definedName name="_xlnm.Print_Area" localSheetId="0">'Ficha Contrato'!$A$1:$Q$81</definedName>
    <definedName name="_xlnm.Print_Area">#N/A</definedName>
    <definedName name="astranna_Consulta">[1]astranna_Consulta!$A$1:$M$2641</definedName>
    <definedName name="astranna_Consulta1">[1]astranna_Consulta1!$A$1:$M$2641</definedName>
    <definedName name="Base" localSheetId="0">#REF!</definedName>
    <definedName name="Base">#REF!</definedName>
    <definedName name="_xlnm.Database" localSheetId="0">#REF!</definedName>
    <definedName name="_xlnm.Database">#REF!</definedName>
    <definedName name="bb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bb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bb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bb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BBB" localSheetId="2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BBB" localSheetId="0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BBB" localSheetId="4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BBB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BD" localSheetId="0">#REF!</definedName>
    <definedName name="BD">#REF!</definedName>
    <definedName name="BD_CO" localSheetId="0">#REF!</definedName>
    <definedName name="BD_CO">#REF!</definedName>
    <definedName name="BD_COST" localSheetId="0">#REF!</definedName>
    <definedName name="BD_COST">#REF!</definedName>
    <definedName name="BD_LC" localSheetId="0">#REF!</definedName>
    <definedName name="BD_LC">#REF!</definedName>
    <definedName name="BD_LS" localSheetId="0">#REF!</definedName>
    <definedName name="BD_LS">#REF!</definedName>
    <definedName name="Beg_Bal" localSheetId="0">#REF!</definedName>
    <definedName name="Beg_Bal">#REF!</definedName>
    <definedName name="bghh" localSheetId="2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bghh" localSheetId="0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bghh" localSheetId="4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bghh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bhy" localSheetId="2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bhy" localSheetId="0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bhy" localSheetId="4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bhy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BQ" localSheetId="0">#REF!</definedName>
    <definedName name="BQ">#REF!</definedName>
    <definedName name="C_Costo" localSheetId="0">'Ficha Contrato'!$F$74</definedName>
    <definedName name="CANT" localSheetId="0">#REF!</definedName>
    <definedName name="CANT">#REF!</definedName>
    <definedName name="casa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asa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asa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asa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costo" localSheetId="0">'Ficha Contrato'!$D$74</definedName>
    <definedName name="CHSFH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HSFH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HSFH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HSFH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OD" localSheetId="0">#REF!</definedName>
    <definedName name="COD">#REF!</definedName>
    <definedName name="CodCtto" localSheetId="0">'Ficha Contrato'!$F$7</definedName>
    <definedName name="CodCtto_214" localSheetId="0">#REF!</definedName>
    <definedName name="CodCtto_214">#REF!</definedName>
    <definedName name="CodCtto_215" localSheetId="0">#REF!</definedName>
    <definedName name="CodCtto_215">#REF!</definedName>
    <definedName name="CodCtto_217" localSheetId="0">#REF!</definedName>
    <definedName name="CodCtto_217">#REF!</definedName>
    <definedName name="CodCtto_221" localSheetId="0">#REF!</definedName>
    <definedName name="CodCtto_221">#REF!</definedName>
    <definedName name="CodCtto_222" localSheetId="0">#REF!</definedName>
    <definedName name="CodCtto_222">#REF!</definedName>
    <definedName name="Cont_150" localSheetId="0">'[2]Valorización Valle'!#REF!</definedName>
    <definedName name="Cont_150">'[2]Valorización Valle'!#REF!</definedName>
    <definedName name="Cont_ObrasNuevas" localSheetId="0">'[2]Valorización Valle'!#REF!</definedName>
    <definedName name="Cont_ObrasNuevas">'[2]Valorización Valle'!#REF!</definedName>
    <definedName name="Cont_ON" localSheetId="0">'[2]Valorización Valle'!#REF!</definedName>
    <definedName name="Cont_ON">'[2]Valorización Valle'!#REF!</definedName>
    <definedName name="Cont_Sup_150" localSheetId="0">'[2]Valorización Valle'!#REF!</definedName>
    <definedName name="Cont_Sup_150">'[2]Valorización Valle'!#REF!</definedName>
    <definedName name="Contingencia_150" localSheetId="0">'[2]Valorización Valle'!#REF!</definedName>
    <definedName name="Contingencia_150">'[2]Valorización Valle'!#REF!</definedName>
    <definedName name="control" localSheetId="2" hidden="1">{#N/A,#N/A,FALSE,"Graficos"}</definedName>
    <definedName name="control" localSheetId="0" hidden="1">{#N/A,#N/A,FALSE,"Graficos"}</definedName>
    <definedName name="control" localSheetId="4" hidden="1">{#N/A,#N/A,FALSE,"Graficos"}</definedName>
    <definedName name="control" hidden="1">{#N/A,#N/A,FALSE,"Graficos"}</definedName>
    <definedName name="COPIA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OPIA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OPIA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OPIA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ordTecCtta" localSheetId="0">'Ficha Contrato'!$F$10</definedName>
    <definedName name="CordTecCtta_214" localSheetId="0">#REF!</definedName>
    <definedName name="CordTecCtta_214">#REF!</definedName>
    <definedName name="CordTecCtta_215" localSheetId="0">#REF!</definedName>
    <definedName name="CordTecCtta_215">#REF!</definedName>
    <definedName name="CordTecCtta_221" localSheetId="0">#REF!</definedName>
    <definedName name="CordTecCtta_221">#REF!</definedName>
    <definedName name="cosots" localSheetId="2" hidden="1">{"Graf_Carga Trab",#N/A,FALSE,"Grafi_Carga Trab";"Graf_Venta Flujo",#N/A,FALSE,"Grafi_Carga Trab"}</definedName>
    <definedName name="cosots" localSheetId="0" hidden="1">{"Graf_Carga Trab",#N/A,FALSE,"Grafi_Carga Trab";"Graf_Venta Flujo",#N/A,FALSE,"Grafi_Carga Trab"}</definedName>
    <definedName name="cosots" localSheetId="4" hidden="1">{"Graf_Carga Trab",#N/A,FALSE,"Grafi_Carga Trab";"Graf_Venta Flujo",#N/A,FALSE,"Grafi_Carga Trab"}</definedName>
    <definedName name="cosots" hidden="1">{"Graf_Carga Trab",#N/A,FALSE,"Grafi_Carga Trab";"Graf_Venta Flujo",#N/A,FALSE,"Grafi_Carga Trab"}</definedName>
    <definedName name="cub" localSheetId="2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cub" localSheetId="0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cub" localSheetId="4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cub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Curvado" localSheetId="0">#REF!</definedName>
    <definedName name="Curvado">#REF!</definedName>
    <definedName name="Curvado1" localSheetId="0">#REF!</definedName>
    <definedName name="Curvado1">#REF!</definedName>
    <definedName name="Curvado2" localSheetId="0">#REF!</definedName>
    <definedName name="Curvado2">#REF!</definedName>
    <definedName name="Curvas" localSheetId="0">[3]Desfile!#REF!</definedName>
    <definedName name="Curvas">[3]Desfile!#REF!</definedName>
    <definedName name="CYM" localSheetId="0">#REF!</definedName>
    <definedName name="CYM">#REF!</definedName>
    <definedName name="D" localSheetId="0">#REF!</definedName>
    <definedName name="D">#REF!</definedName>
    <definedName name="Data" localSheetId="0">#REF!</definedName>
    <definedName name="Data">#REF!</definedName>
    <definedName name="DETALLE">[4]Tablas!$D$1:$E$12</definedName>
    <definedName name="dfr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dfr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dfr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dfr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DISCIP">[4]Tablas!$A$1:$B$9</definedName>
    <definedName name="ee" localSheetId="2" hidden="1">{"Graf_Carga Trab",#N/A,FALSE,"Grafi_Carga Trab";"Graf_Venta Flujo",#N/A,FALSE,"Grafi_Carga Trab"}</definedName>
    <definedName name="ee" localSheetId="0" hidden="1">{"Graf_Carga Trab",#N/A,FALSE,"Grafi_Carga Trab";"Graf_Venta Flujo",#N/A,FALSE,"Grafi_Carga Trab"}</definedName>
    <definedName name="ee" localSheetId="4" hidden="1">{"Graf_Carga Trab",#N/A,FALSE,"Grafi_Carga Trab";"Graf_Venta Flujo",#N/A,FALSE,"Grafi_Carga Trab"}</definedName>
    <definedName name="ee" hidden="1">{"Graf_Carga Trab",#N/A,FALSE,"Grafi_Carga Trab";"Graf_Venta Flujo",#N/A,FALSE,"Grafi_Carga Trab"}</definedName>
    <definedName name="eee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eee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eee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eee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EF" localSheetId="0">#REF!</definedName>
    <definedName name="EF">#REF!</definedName>
    <definedName name="EFA" localSheetId="0">#REF!</definedName>
    <definedName name="EFA">#REF!</definedName>
    <definedName name="End_Bal" localSheetId="0">#REF!</definedName>
    <definedName name="End_Bal">#REF!</definedName>
    <definedName name="erd" localSheetId="2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erd" localSheetId="0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erd" localSheetId="4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erd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ES" localSheetId="0">#REF!</definedName>
    <definedName name="ES">#REF!</definedName>
    <definedName name="ESA" localSheetId="0">#REF!</definedName>
    <definedName name="ESA">#REF!</definedName>
    <definedName name="ESTATUS" localSheetId="0">#REF!</definedName>
    <definedName name="Extra_Pay" localSheetId="0">#REF!</definedName>
    <definedName name="Extra_Pay">#REF!</definedName>
    <definedName name="FchIniCtto" localSheetId="0">'Ficha Contrato'!$F$67</definedName>
    <definedName name="FchIniCtto_214" localSheetId="0">#REF!</definedName>
    <definedName name="FchIniCtto_214">#REF!</definedName>
    <definedName name="FchIniCtto_221" localSheetId="0">#REF!</definedName>
    <definedName name="FchIniCtto_221">#REF!</definedName>
    <definedName name="FchTermCtto" localSheetId="0">'Ficha Contrato'!$F$68</definedName>
    <definedName name="FchTermCtto_214" localSheetId="0">#REF!</definedName>
    <definedName name="FchTermCtto_214">#REF!</definedName>
    <definedName name="FchTermCtto_221" localSheetId="0">#REF!</definedName>
    <definedName name="FchTermCtto_221">#REF!</definedName>
    <definedName name="FD" localSheetId="0">#REF!</definedName>
    <definedName name="FD">#REF!</definedName>
    <definedName name="fdfjgd" localSheetId="2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fdfjgd" localSheetId="0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fdfjgd" localSheetId="4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fdfjgd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FE" localSheetId="0">#REF!</definedName>
    <definedName name="FE">#REF!</definedName>
    <definedName name="Fecha_Boleta" localSheetId="0">'Ficha Contrato'!$F$69</definedName>
    <definedName name="ff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f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f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f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FF" localSheetId="2" hidden="1">{"Graf_Carga Trab",#N/A,FALSE,"Grafi_Carga Trab";"Graf_Venta Flujo",#N/A,FALSE,"Grafi_Carga Trab"}</definedName>
    <definedName name="FFF" localSheetId="0" hidden="1">{"Graf_Carga Trab",#N/A,FALSE,"Grafi_Carga Trab";"Graf_Venta Flujo",#N/A,FALSE,"Grafi_Carga Trab"}</definedName>
    <definedName name="FFF" localSheetId="4" hidden="1">{"Graf_Carga Trab",#N/A,FALSE,"Grafi_Carga Trab";"Graf_Venta Flujo",#N/A,FALSE,"Grafi_Carga Trab"}</definedName>
    <definedName name="FFF" hidden="1">{"Graf_Carga Trab",#N/A,FALSE,"Grafi_Carga Trab";"Graf_Venta Flujo",#N/A,FALSE,"Grafi_Carga Trab"}</definedName>
    <definedName name="fg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g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g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g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gch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gch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gch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gch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ghfhf" localSheetId="2" hidden="1">#N/A</definedName>
    <definedName name="fghfhf" localSheetId="4" hidden="1">#N/A</definedName>
    <definedName name="fghfhf" hidden="1">#N/A</definedName>
    <definedName name="FHSFJKSG" localSheetId="2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FHSFJKSG" localSheetId="0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FHSFJKSG" localSheetId="4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FHSFJKSG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Flujos" localSheetId="2" hidden="1">{#N/A,#N/A,FALSE,"Graficos"}</definedName>
    <definedName name="Flujos" localSheetId="0" hidden="1">{#N/A,#N/A,FALSE,"Graficos"}</definedName>
    <definedName name="Flujos" localSheetId="4" hidden="1">{#N/A,#N/A,FALSE,"Graficos"}</definedName>
    <definedName name="Flujos" hidden="1">{#N/A,#N/A,FALSE,"Graficos"}</definedName>
    <definedName name="FN" localSheetId="0">#REF!</definedName>
    <definedName name="FN">#REF!</definedName>
    <definedName name="FNC" localSheetId="0">#REF!</definedName>
    <definedName name="FNC">#REF!</definedName>
    <definedName name="FOA" localSheetId="0">#REF!</definedName>
    <definedName name="FOA">#REF!</definedName>
    <definedName name="FPE" localSheetId="0">#REF!</definedName>
    <definedName name="FPE">#REF!</definedName>
    <definedName name="FPI" localSheetId="0">#REF!</definedName>
    <definedName name="FPI">#REF!</definedName>
    <definedName name="FRA" localSheetId="0">#REF!</definedName>
    <definedName name="FRA">#REF!</definedName>
    <definedName name="FRC" localSheetId="0">#REF!</definedName>
    <definedName name="FRC">#REF!</definedName>
    <definedName name="FRD" localSheetId="0">#REF!</definedName>
    <definedName name="FRD">#REF!</definedName>
    <definedName name="FT" localSheetId="0">#REF!</definedName>
    <definedName name="FT">#REF!</definedName>
    <definedName name="FTM" localSheetId="0">#REF!</definedName>
    <definedName name="FTM">#REF!</definedName>
    <definedName name="Full_Print" localSheetId="0">#REF!</definedName>
    <definedName name="Full_Print">#REF!</definedName>
    <definedName name="g" localSheetId="2" hidden="1">{#N/A,#N/A,FALSE,"Graficos"}</definedName>
    <definedName name="g" localSheetId="0" hidden="1">{#N/A,#N/A,FALSE,"Graficos"}</definedName>
    <definedName name="g" localSheetId="4" hidden="1">{#N/A,#N/A,FALSE,"Graficos"}</definedName>
    <definedName name="g" hidden="1">{#N/A,#N/A,FALSE,"Graficos"}</definedName>
    <definedName name="GerenUsuaria" localSheetId="0">'Ficha Contrato'!$J$78</definedName>
    <definedName name="gg" localSheetId="2" hidden="1">{"Graf_Carga Trab",#N/A,FALSE,"Grafi_Carga Trab";"Graf_Venta Flujo",#N/A,FALSE,"Grafi_Carga Trab"}</definedName>
    <definedName name="gg" localSheetId="0" hidden="1">{"Graf_Carga Trab",#N/A,FALSE,"Grafi_Carga Trab";"Graf_Venta Flujo",#N/A,FALSE,"Grafi_Carga Trab"}</definedName>
    <definedName name="gg" localSheetId="4" hidden="1">{"Graf_Carga Trab",#N/A,FALSE,"Grafi_Carga Trab";"Graf_Venta Flujo",#N/A,FALSE,"Grafi_Carga Trab"}</definedName>
    <definedName name="gg" hidden="1">{"Graf_Carga Trab",#N/A,FALSE,"Grafi_Carga Trab";"Graf_Venta Flujo",#N/A,FALSE,"Grafi_Carga Trab"}</definedName>
    <definedName name="GJLHÑÑGHK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GJLHÑÑGHK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GJLHÑÑGHK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GJLHÑÑGHK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Header_Row" localSheetId="0">ROW(#REF!)</definedName>
    <definedName name="Header_Row">ROW(#REF!)</definedName>
    <definedName name="HHGH" localSheetId="2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HHGH" localSheetId="0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HHGH" localSheetId="4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HHGH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HHHHH" localSheetId="2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HHHHH" localSheetId="0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HHHHH" localSheetId="4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HHHHH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HHJK" localSheetId="2" hidden="1">{"Graf_Carga Trab",#N/A,FALSE,"Grafi_Carga Trab";"Graf_Venta Flujo",#N/A,FALSE,"Grafi_Carga Trab"}</definedName>
    <definedName name="HHJK" localSheetId="0" hidden="1">{"Graf_Carga Trab",#N/A,FALSE,"Grafi_Carga Trab";"Graf_Venta Flujo",#N/A,FALSE,"Grafi_Carga Trab"}</definedName>
    <definedName name="HHJK" localSheetId="4" hidden="1">{"Graf_Carga Trab",#N/A,FALSE,"Grafi_Carga Trab";"Graf_Venta Flujo",#N/A,FALSE,"Grafi_Carga Trab"}</definedName>
    <definedName name="HHJK" hidden="1">{"Graf_Carga Trab",#N/A,FALSE,"Grafi_Carga Trab";"Graf_Venta Flujo",#N/A,FALSE,"Grafi_Carga Trab"}</definedName>
    <definedName name="Int" localSheetId="0">#REF!</definedName>
    <definedName name="Int">#REF!</definedName>
    <definedName name="Interest_Rate" localSheetId="0">#REF!</definedName>
    <definedName name="Interest_Rate">#REF!</definedName>
    <definedName name="Inversión_Actual" localSheetId="0">#REF!</definedName>
    <definedName name="Inversión_Actual">#REF!</definedName>
    <definedName name="Inversiones" localSheetId="0">#REF!</definedName>
    <definedName name="Inversiones">#REF!</definedName>
    <definedName name="JUPOX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JUPOX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JUPOX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JUPOX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kj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kj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kj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kj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klo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klo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klo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klo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Last_Row" localSheetId="0">IF('Ficha Contrato'!Values_Entered,'Ficha Contrato'!Header_Row+'Ficha Contrato'!Number_of_Payments,'Ficha Contrato'!Header_Row)</definedName>
    <definedName name="Last_Row">IF(Values_Entered,Header_Row+Number_of_Payments,Header_Row)</definedName>
    <definedName name="Loan_Amount" localSheetId="0">#REF!</definedName>
    <definedName name="Loan_Amount">#REF!</definedName>
    <definedName name="Loan_Start" localSheetId="0">#REF!</definedName>
    <definedName name="Loan_Start">#REF!</definedName>
    <definedName name="Loan_Years" localSheetId="0">#REF!</definedName>
    <definedName name="Loan_Years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" "</definedName>
    <definedName name="LOCAL_MONTH_FORMAT" hidden="1">INDEX(GET.WORKSPACE(37),20)</definedName>
    <definedName name="LOCAL_MYSQL_DATE_FORMAT" localSheetId="2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0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4" hidden="1">#N/A</definedName>
    <definedName name="LOCAL_MYSQL_DATE_FORMAT" hidden="1">#N/A</definedName>
    <definedName name="LOCAL_SECOND_FORMAT" hidden="1">" "</definedName>
    <definedName name="LOCAL_TIME_SEPARATOR" hidden="1">INDEX(GET.WORKSPACE(37),18)</definedName>
    <definedName name="LOCAL_YEAR_FORMAT" hidden="1">INDEX(GET.WORKSPACE(37),19)</definedName>
    <definedName name="MACU">#N/A</definedName>
    <definedName name="marcos">#N/A</definedName>
    <definedName name="Mdte" localSheetId="0">'Ficha Contrato'!$J$79</definedName>
    <definedName name="MonedCtto" localSheetId="0">'Ficha Contrato'!$E$16</definedName>
    <definedName name="MonedCtto_214" localSheetId="0">#REF!</definedName>
    <definedName name="MonedCtto_214">#REF!</definedName>
    <definedName name="MonedCtto_221" localSheetId="0">#REF!</definedName>
    <definedName name="MonedCtto_221">#REF!</definedName>
    <definedName name="NEdpPpagCtto" localSheetId="0">'Ficha Contrato'!$G$61</definedName>
    <definedName name="NEdpPpagCtto_214" localSheetId="0">#REF!</definedName>
    <definedName name="NEdpPpagCtto_214">#REF!</definedName>
    <definedName name="NEdpPpagCtto_221" localSheetId="0">#REF!</definedName>
    <definedName name="NEdpPpagCtto_221">#REF!</definedName>
    <definedName name="NODC" localSheetId="0">'Ficha Contrato'!$I$74</definedName>
    <definedName name="NODC_214" localSheetId="0">#REF!</definedName>
    <definedName name="NODC_214">#REF!</definedName>
    <definedName name="NODC_221" localSheetId="0">#REF!</definedName>
    <definedName name="NODC_221">#REF!</definedName>
    <definedName name="NombCtta" localSheetId="0">'Ficha Contrato'!$F$8</definedName>
    <definedName name="NombCtta_214" localSheetId="0">#REF!</definedName>
    <definedName name="NombCtta_214">#REF!</definedName>
    <definedName name="NombCtta_215" localSheetId="0">#REF!</definedName>
    <definedName name="NombCtta_215">#REF!</definedName>
    <definedName name="NombCtta_221" localSheetId="0">#REF!</definedName>
    <definedName name="NombCtta_221">#REF!</definedName>
    <definedName name="NombCtta_222" localSheetId="0">#REF!</definedName>
    <definedName name="NombCtta_222">#REF!</definedName>
    <definedName name="NombCtto" localSheetId="0">'Ficha Contrato'!$F$6</definedName>
    <definedName name="NombCtto_214" localSheetId="0">#REF!</definedName>
    <definedName name="NombCtto_214">#REF!</definedName>
    <definedName name="NombCtto_215" localSheetId="0">#REF!</definedName>
    <definedName name="NombCtto_215">#REF!</definedName>
    <definedName name="NombCtto_221" localSheetId="0">#REF!</definedName>
    <definedName name="NombCtto_221">#REF!</definedName>
    <definedName name="NombCtto_222" localSheetId="0">#REF!</definedName>
    <definedName name="NombCtto_222">#REF!</definedName>
    <definedName name="Nombre" localSheetId="0">#REF!</definedName>
    <definedName name="Nombre">#REF!</definedName>
    <definedName name="Num_Pmt_Per_Year" localSheetId="0">#REF!</definedName>
    <definedName name="Num_Pmt_Per_Year">#REF!</definedName>
    <definedName name="Number_of_Payments" localSheetId="0">MATCH(0.01,'Ficha Contrato'!End_Bal,-1)+1</definedName>
    <definedName name="Number_of_Payments">MATCH(0.01,End_Bal,-1)+1</definedName>
    <definedName name="ObsCtto" localSheetId="0">'Ficha Contrato'!$I$71</definedName>
    <definedName name="ObsCtto_214" localSheetId="0">#REF!</definedName>
    <definedName name="ObsCtto_214">#REF!</definedName>
    <definedName name="ObsCtto_221" localSheetId="0">#REF!</definedName>
    <definedName name="ObsCtto_221">#REF!</definedName>
    <definedName name="P_ALLES" localSheetId="0">#REF!</definedName>
    <definedName name="P_ALLES">#REF!</definedName>
    <definedName name="P_AUS" localSheetId="0">#REF!</definedName>
    <definedName name="P_AUS">#REF!</definedName>
    <definedName name="P_PB" localSheetId="0">#REF!</definedName>
    <definedName name="P_PB">#REF!</definedName>
    <definedName name="P_STK" localSheetId="0">#REF!</definedName>
    <definedName name="P_STK">#REF!</definedName>
    <definedName name="P_VOR" localSheetId="0">#REF!</definedName>
    <definedName name="P_VOR">#REF!</definedName>
    <definedName name="P_ZUS" localSheetId="0">#REF!</definedName>
    <definedName name="P_ZUS">#REF!</definedName>
    <definedName name="Pay_Date" localSheetId="0">#REF!</definedName>
    <definedName name="Pay_Date">#REF!</definedName>
    <definedName name="Pay_Num" localSheetId="0">#REF!</definedName>
    <definedName name="Pay_Num">#REF!</definedName>
    <definedName name="Payment_Date" localSheetId="0">DATE(YEAR('Ficha Contrato'!Loan_Start),MONTH('Ficha Contrato'!Loan_Start)+Payment_Number,DAY('Ficha Contrato'!Loan_Start))</definedName>
    <definedName name="Payment_Date">DATE(YEAR(Loan_Start),MONTH(Loan_Start)+Payment_Number,DAY(Loan_Start))</definedName>
    <definedName name="Payment_Needed">"Pago necesario"</definedName>
    <definedName name="PIPE" localSheetId="0">#REF!</definedName>
    <definedName name="PIPE">#REF!</definedName>
    <definedName name="pipe1" localSheetId="0">#REF!</definedName>
    <definedName name="pipe1">#REF!</definedName>
    <definedName name="Poc.Nac" localSheetId="0">#REF!</definedName>
    <definedName name="Poc.Nac">#REF!</definedName>
    <definedName name="Por.Imp" localSheetId="0">#REF!</definedName>
    <definedName name="Por.Imp">#REF!</definedName>
    <definedName name="ppspsps" localSheetId="2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ppspsps" localSheetId="0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ppspsps" localSheetId="4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ppspsps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PR_AUS" localSheetId="0">#REF!</definedName>
    <definedName name="PR_AUS">#REF!</definedName>
    <definedName name="PR_PB" localSheetId="0">#REF!</definedName>
    <definedName name="PR_PB">#REF!</definedName>
    <definedName name="PR_STK" localSheetId="0">#REF!</definedName>
    <definedName name="PR_STK">#REF!</definedName>
    <definedName name="PR_VOR" localSheetId="0">#REF!</definedName>
    <definedName name="PR_VOR">#REF!</definedName>
    <definedName name="PR_ZUS" localSheetId="0">#REF!</definedName>
    <definedName name="PR_ZUS">#REF!</definedName>
    <definedName name="Princ" localSheetId="0">#REF!</definedName>
    <definedName name="Princ">#REF!</definedName>
    <definedName name="Print_Area_Reset" localSheetId="0">OFFSET('Ficha Contrato'!Full_Print,0,0,'Ficha Contrato'!Last_Row)</definedName>
    <definedName name="Print_Area_Reset">OFFSET(Full_Print,0,0,Last_Row)</definedName>
    <definedName name="Prueb5" localSheetId="0">#REF!</definedName>
    <definedName name="Prueb5">#REF!</definedName>
    <definedName name="Prueba_1" localSheetId="0">#REF!</definedName>
    <definedName name="Prueba_1">#REF!</definedName>
    <definedName name="Prueba_221" localSheetId="0">#REF!</definedName>
    <definedName name="Prueba_221">#REF!</definedName>
    <definedName name="Prueba_222" localSheetId="0">#REF!</definedName>
    <definedName name="Prueba_222">#REF!</definedName>
    <definedName name="Prueba_225" localSheetId="0">#REF!</definedName>
    <definedName name="Prueba_225">#REF!</definedName>
    <definedName name="Prueba_250" localSheetId="0">#REF!</definedName>
    <definedName name="Prueba_250">#REF!</definedName>
    <definedName name="Prueba1" localSheetId="0">#REF!</definedName>
    <definedName name="Prueba1">#REF!</definedName>
    <definedName name="Prueba1.SC221" localSheetId="0">#REF!</definedName>
    <definedName name="Prueba1.SC221">#REF!</definedName>
    <definedName name="Prueba1_221" localSheetId="0">#REF!</definedName>
    <definedName name="Prueba1_221">#REF!</definedName>
    <definedName name="PTA" localSheetId="0">#REF!</definedName>
    <definedName name="PTA">#REF!</definedName>
    <definedName name="PTA_LC" localSheetId="0">#REF!</definedName>
    <definedName name="PTA_LC">#REF!</definedName>
    <definedName name="qw" localSheetId="2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qw" localSheetId="0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qw" localSheetId="4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qw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qx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qx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qx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qx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Rectos" localSheetId="0">[3]Desfile!#REF!</definedName>
    <definedName name="Rectos">[3]Desfile!#REF!</definedName>
    <definedName name="Reimbursement">"Reembolso"</definedName>
    <definedName name="RES" localSheetId="0">#REF!</definedName>
    <definedName name="RES">#REF!</definedName>
    <definedName name="Reten" localSheetId="0">'Ficha Contrato'!$F$75</definedName>
    <definedName name="RID" localSheetId="0">#REF!</definedName>
    <definedName name="RID">#REF!</definedName>
    <definedName name="Rinde_Curva1" localSheetId="0">#REF!</definedName>
    <definedName name="Rinde_Curva1">#REF!</definedName>
    <definedName name="Rinde_Curva2" localSheetId="0">#REF!</definedName>
    <definedName name="Rinde_Curva2">#REF!</definedName>
    <definedName name="RiskCollectDistributionSamples">2</definedName>
    <definedName name="RiskFixedSeed">1</definedName>
    <definedName name="RiskHasSettings">TRUE</definedName>
    <definedName name="RiskMinimizeOnStart">FALSE</definedName>
    <definedName name="RiskMonitorConvergence">FALSE</definedName>
    <definedName name="RiskNumIterations">10000</definedName>
    <definedName name="RiskNumSimulations">1</definedName>
    <definedName name="RiskPauseOnError">FALSE</definedName>
    <definedName name="RiskRealTimeResults">FALSE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tandardRecalc">1</definedName>
    <definedName name="RiskStatFunctionsUpdateFreq">1</definedName>
    <definedName name="RiskUpdateDisplay">FALSE</definedName>
    <definedName name="RiskUpdateStatFunctions">TRUE</definedName>
    <definedName name="RiskUseDifferentSeedForEachSim">FALSE</definedName>
    <definedName name="RiskUseFixedSeed">FALSE</definedName>
    <definedName name="rrr" localSheetId="0">OFFSET('Ficha Contrato'!Full_Print,0,0,'Ficha Contrato'!Last_Row)</definedName>
    <definedName name="rrr">OFFSET(Full_Print,0,0,Last_Row)</definedName>
    <definedName name="rty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rty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rty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rty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RUT" localSheetId="0">#REF!</definedName>
    <definedName name="RUT">#REF!</definedName>
    <definedName name="RutCtta" localSheetId="0">'Ficha Contrato'!$F$9</definedName>
    <definedName name="RutCtta_214" localSheetId="0">#REF!</definedName>
    <definedName name="RutCtta_214">#REF!</definedName>
    <definedName name="RutCtta_215" localSheetId="0">#REF!</definedName>
    <definedName name="RutCtta_215">#REF!</definedName>
    <definedName name="RutCtta_221" localSheetId="0">#REF!</definedName>
    <definedName name="RutCtta_221">#REF!</definedName>
    <definedName name="Rx" localSheetId="0">[3]Desfile!#REF!</definedName>
    <definedName name="Rx">[3]Desfile!#REF!</definedName>
    <definedName name="RxMitrada" localSheetId="0">[3]Desfile!#REF!</definedName>
    <definedName name="RxMitrada">[3]Desfile!#REF!</definedName>
    <definedName name="s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s_1" localSheetId="0">#REF!</definedName>
    <definedName name="s_1">#REF!</definedName>
    <definedName name="s_3" localSheetId="0">#REF!</definedName>
    <definedName name="s_3">#REF!</definedName>
    <definedName name="s_4" localSheetId="0">#REF!</definedName>
    <definedName name="s_4">#REF!</definedName>
    <definedName name="s_5" localSheetId="0">#REF!</definedName>
    <definedName name="s_5">#REF!</definedName>
    <definedName name="SAP.H.TABLEHEADER.001" localSheetId="0">#REF!</definedName>
    <definedName name="SAP.H.TABLEHEADER.001">#REF!</definedName>
    <definedName name="SAP.T.IDNRK.001" localSheetId="0">#REF!</definedName>
    <definedName name="SAP.T.IDNRK.001">#REF!</definedName>
    <definedName name="SAP.T.MAKTX.001" localSheetId="0">#REF!</definedName>
    <definedName name="SAP.T.MAKTX.001">#REF!</definedName>
    <definedName name="SAP.T.MEINS.001" localSheetId="0">#REF!</definedName>
    <definedName name="SAP.T.MEINS.001">#REF!</definedName>
    <definedName name="SAP.T.MEINS1.001" localSheetId="0">#REF!</definedName>
    <definedName name="SAP.T.MEINS1.001">#REF!</definedName>
    <definedName name="SAP.T.MENGE.001" localSheetId="0">#REF!</definedName>
    <definedName name="SAP.T.MENGE.001">#REF!</definedName>
    <definedName name="SAP.T.MERKBEZ1.001" localSheetId="0">#REF!</definedName>
    <definedName name="SAP.T.MERKBEZ1.001">#REF!</definedName>
    <definedName name="SAP.T.MERKMAL1.001" localSheetId="0">#REF!</definedName>
    <definedName name="SAP.T.MERKMAL1.001">#REF!</definedName>
    <definedName name="SAP.T.PLTXT.001" localSheetId="0">#REF!</definedName>
    <definedName name="SAP.T.PLTXT.001">#REF!</definedName>
    <definedName name="SAP.T.STRNO.001" localSheetId="0">#REF!</definedName>
    <definedName name="SAP.T.STRNO.001">#REF!</definedName>
    <definedName name="SAP.T.YYBEZINTERN.001" localSheetId="0">#REF!</definedName>
    <definedName name="SAP.T.YYBEZINTERN.001">#REF!</definedName>
    <definedName name="Sched_Pay" localSheetId="0">#REF!</definedName>
    <definedName name="Sched_Pay">#REF!</definedName>
    <definedName name="Scheduled_Extra_Payments" localSheetId="0">#REF!</definedName>
    <definedName name="Scheduled_Extra_Payments">#REF!</definedName>
    <definedName name="Scheduled_Interest_Rate" localSheetId="0">#REF!</definedName>
    <definedName name="Scheduled_Interest_Rate">#REF!</definedName>
    <definedName name="Scheduled_Monthly_Payment" localSheetId="0">#REF!</definedName>
    <definedName name="Scheduled_Monthly_Payment">#REF!</definedName>
    <definedName name="sdadsa" hidden="1">#N/A</definedName>
    <definedName name="seytdghy" localSheetId="0">'Ficha Contrato'!$A$1:$L$81</definedName>
    <definedName name="SFGAST5" localSheetId="2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SFGAST5" localSheetId="0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SFGAST5" localSheetId="4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SFGAST5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SFSTRT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SFSTRT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SFSTRT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SFSTRT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solda2" localSheetId="0">#REF!</definedName>
    <definedName name="solda2">#REF!</definedName>
    <definedName name="SP_0004" localSheetId="0">#REF!</definedName>
    <definedName name="SP_0004">#REF!</definedName>
    <definedName name="SP_0005" localSheetId="0">#REF!</definedName>
    <definedName name="SP_0005">#REF!</definedName>
    <definedName name="SP_0006" localSheetId="0">#REF!</definedName>
    <definedName name="SP_0006">#REF!</definedName>
    <definedName name="SP_0007" localSheetId="0">#REF!</definedName>
    <definedName name="SP_0007">#REF!</definedName>
    <definedName name="SP_0008" localSheetId="0">#REF!</definedName>
    <definedName name="SP_0008">#REF!</definedName>
    <definedName name="SP_0009" localSheetId="0">#REF!</definedName>
    <definedName name="SP_0009">#REF!</definedName>
    <definedName name="SP_0010" localSheetId="0">#REF!</definedName>
    <definedName name="SP_0010">#REF!</definedName>
    <definedName name="SP_0011" localSheetId="0">#REF!</definedName>
    <definedName name="SP_0011">#REF!</definedName>
    <definedName name="SP_0012" localSheetId="0">#REF!</definedName>
    <definedName name="SP_0012">#REF!</definedName>
    <definedName name="SP_0013" localSheetId="0">#REF!</definedName>
    <definedName name="SP_0013">#REF!</definedName>
    <definedName name="SP_0014" localSheetId="0">#REF!</definedName>
    <definedName name="SP_0014">#REF!</definedName>
    <definedName name="SP_0015" localSheetId="0">#REF!</definedName>
    <definedName name="SP_0015">#REF!</definedName>
    <definedName name="SP_0016" localSheetId="0">#REF!</definedName>
    <definedName name="SP_0016">#REF!</definedName>
    <definedName name="SP_0017" localSheetId="0">#REF!</definedName>
    <definedName name="SP_0017">#REF!</definedName>
    <definedName name="SP_0018" localSheetId="0">#REF!</definedName>
    <definedName name="SP_0018">#REF!</definedName>
    <definedName name="SP_0019" localSheetId="0">#REF!</definedName>
    <definedName name="SP_0019">#REF!</definedName>
    <definedName name="SP_0020" localSheetId="0">#REF!</definedName>
    <definedName name="SP_0020">#REF!</definedName>
    <definedName name="SP_0021" localSheetId="0">#REF!</definedName>
    <definedName name="SP_0021">#REF!</definedName>
    <definedName name="SP_0022" localSheetId="0">#REF!</definedName>
    <definedName name="SP_0022">#REF!</definedName>
    <definedName name="SP_P_ENDE" localSheetId="0">#REF!</definedName>
    <definedName name="SP_P_ENDE">#REF!</definedName>
    <definedName name="SSS" localSheetId="2" hidden="1">{#N/A,#N/A,FALSE,"Graficos"}</definedName>
    <definedName name="SSS" localSheetId="0" hidden="1">{#N/A,#N/A,FALSE,"Graficos"}</definedName>
    <definedName name="SSS" localSheetId="4" hidden="1">{#N/A,#N/A,FALSE,"Graficos"}</definedName>
    <definedName name="SSS" hidden="1">{#N/A,#N/A,FALSE,"Graficos"}</definedName>
    <definedName name="Terreno" localSheetId="0">'Ficha Contrato'!$J$80</definedName>
    <definedName name="TieIn" localSheetId="0">[3]Desfile!#REF!</definedName>
    <definedName name="TieIn">[3]Desfile!#REF!</definedName>
    <definedName name="TITLE" localSheetId="0">#REF!</definedName>
    <definedName name="TITLE">#REF!</definedName>
    <definedName name="Total_Interest" localSheetId="0">#REF!</definedName>
    <definedName name="Total_Interest">#REF!</definedName>
    <definedName name="Total_Pay" localSheetId="0">#REF!</definedName>
    <definedName name="Total_Pay">#REF!</definedName>
    <definedName name="Total_Payment" localSheetId="0">Scheduled_Payment+Extra_Payment</definedName>
    <definedName name="Total_Payment">Scheduled_Payment+Extra_Payment</definedName>
    <definedName name="ttt" localSheetId="2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ttt" localSheetId="0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ttt" localSheetId="4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ttt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tuut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tuut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tuut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tuut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UF" localSheetId="0">#REF!</definedName>
    <definedName name="UF">#REF!</definedName>
    <definedName name="UNID" localSheetId="0">#REF!</definedName>
    <definedName name="UNID">#REF!</definedName>
    <definedName name="US" localSheetId="0">#REF!</definedName>
    <definedName name="US">#REF!</definedName>
    <definedName name="ValAdicCtto" localSheetId="0">'Ficha Contrato'!$K$27</definedName>
    <definedName name="ValAdicCtto_214" localSheetId="0">#REF!</definedName>
    <definedName name="ValAdicCtto_214">#REF!</definedName>
    <definedName name="ValAdicCtto_221" localSheetId="0">#REF!</definedName>
    <definedName name="ValAdicCtto_221">#REF!</definedName>
    <definedName name="ValAdjCtto" localSheetId="0">'Ficha Contrato'!$K$16</definedName>
    <definedName name="ValAdjCtto_214" localSheetId="0">#REF!</definedName>
    <definedName name="ValAdjCtto_214">#REF!</definedName>
    <definedName name="ValAdjCtto_221" localSheetId="0">#REF!</definedName>
    <definedName name="ValAdjCtto_221">#REF!</definedName>
    <definedName name="ValCttoBase_214" localSheetId="0">#REF!</definedName>
    <definedName name="ValCttoBase_214">#REF!</definedName>
    <definedName name="ValCttoBase_221" localSheetId="0">#REF!</definedName>
    <definedName name="ValCttoBase_221">#REF!</definedName>
    <definedName name="ValDevRetCtto" localSheetId="0">'Ficha Contrato'!$J$54</definedName>
    <definedName name="ValEdpApCtto" localSheetId="0">'Ficha Contrato'!$F$54</definedName>
    <definedName name="ValEdpApCtto_214" localSheetId="0">#REF!</definedName>
    <definedName name="ValEdpApCtto_214">#REF!</definedName>
    <definedName name="ValEdpApCtto_221" localSheetId="0">#REF!</definedName>
    <definedName name="ValEdpApCtto_221">#REF!</definedName>
    <definedName name="ValRestPpagCtto" localSheetId="0">'Ficha Contrato'!$D$61</definedName>
    <definedName name="ValRestPpagCtto_214" localSheetId="0">#REF!</definedName>
    <definedName name="ValRestPpagCtto_214">#REF!</definedName>
    <definedName name="ValRestPpagCtto_221" localSheetId="0">#REF!</definedName>
    <definedName name="ValRestPpagCtto_221">#REF!</definedName>
    <definedName name="ValRetPPagCtto" localSheetId="0">'Ficha Contrato'!$I$54</definedName>
    <definedName name="ValRetPPagCtto_214" localSheetId="0">#REF!</definedName>
    <definedName name="ValRetPPagCtto_214">#REF!</definedName>
    <definedName name="ValRetPPagCtto_221" localSheetId="0">#REF!</definedName>
    <definedName name="ValRetPPagCtto_221">#REF!</definedName>
    <definedName name="ValtotApCtto" localSheetId="0">'Ficha Contrato'!$K$59</definedName>
    <definedName name="ValtotApCtto">'[5]SC215 Prop Minera'!$K$66</definedName>
    <definedName name="ValtotApCtto_214" localSheetId="0">#REF!</definedName>
    <definedName name="ValtotApCtto_214">#REF!</definedName>
    <definedName name="ValtotApCtto_221" localSheetId="0">#REF!</definedName>
    <definedName name="ValtotApCtto_221">#REF!</definedName>
    <definedName name="Values_Entered" localSheetId="0">IF('Ficha Contrato'!Loan_Amount*'Ficha Contrato'!Interest_Rate*'Ficha Contrato'!Loan_Years*'Ficha Contrato'!Loan_Start&gt;0,1,0)</definedName>
    <definedName name="Values_Entered">IF(Loan_Amount*Interest_Rate*Loan_Years*Loan_Start&gt;0,1,0)</definedName>
    <definedName name="VCXNVJHKKLYJ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VCXNVJHKKLYJ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VCXNVJHKKLYJ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VCXNVJHKKLYJ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viio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viio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viio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viio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VVGVHJ" localSheetId="2" hidden="1">{#N/A,#N/A,FALSE,"Graficos"}</definedName>
    <definedName name="VVGVHJ" localSheetId="0" hidden="1">{#N/A,#N/A,FALSE,"Graficos"}</definedName>
    <definedName name="VVGVHJ" localSheetId="4" hidden="1">{#N/A,#N/A,FALSE,"Graficos"}</definedName>
    <definedName name="VVGVHJ" hidden="1">{#N/A,#N/A,FALSE,"Graficos"}</definedName>
    <definedName name="WERT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ERT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ERT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ERT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rn.CONTROL._.ARCHIVO." localSheetId="2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wrn.CONTROL._.ARCHIVO." localSheetId="0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wrn.CONTROL._.ARCHIVO." localSheetId="4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wrn.CONTROL._.ARCHIVO.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wrn.Día._.API." localSheetId="2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wrn.Día._.API." localSheetId="0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wrn.Día._.API." localSheetId="4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wrn.Día._.API.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wrn.ep10.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rn.ep10.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rn.ep10.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rn.ep10.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rn.Graficos." localSheetId="2" hidden="1">{"Graf_Carga Trab",#N/A,FALSE,"Grafi_Carga Trab";"Graf_Venta Flujo",#N/A,FALSE,"Grafi_Carga Trab"}</definedName>
    <definedName name="wrn.Graficos." localSheetId="0" hidden="1">{"Graf_Carga Trab",#N/A,FALSE,"Grafi_Carga Trab";"Graf_Venta Flujo",#N/A,FALSE,"Grafi_Carga Trab"}</definedName>
    <definedName name="wrn.Graficos." localSheetId="4" hidden="1">{"Graf_Carga Trab",#N/A,FALSE,"Grafi_Carga Trab";"Graf_Venta Flujo",#N/A,FALSE,"Grafi_Carga Trab"}</definedName>
    <definedName name="wrn.Graficos." hidden="1">{"Graf_Carga Trab",#N/A,FALSE,"Grafi_Carga Trab";"Graf_Venta Flujo",#N/A,FALSE,"Grafi_Carga Trab"}</definedName>
    <definedName name="wrn.Informe._.1." localSheetId="2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wrn.Informe._.1." localSheetId="0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wrn.Informe._.1." localSheetId="4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wrn.Informe._.1.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wrn.Informe._.2." localSheetId="2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wrn.Informe._.2." localSheetId="0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wrn.Informe._.2." localSheetId="4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wrn.Informe._.2.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wrn.unidades." localSheetId="2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wrn.unidades." localSheetId="0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wrn.unidades." localSheetId="4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wrn.unidades.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www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ww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ww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ww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xxxxx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xxxxx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xxxxx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xxxxx" hidden="1">{#N/A,#N/A,FALSE,"masez (10)";#N/A,#N/A,FALSE,"masez (7)";#N/A,#N/A,FALSE,"masez (6)";#N/A,#N/A,FALSE,"masez (5)";#N/A,#N/A,FALSE,"masez (4)";#N/A,#N/A,FALSE,"masez (3)";#N/A,#N/A,FALSE,"masez (2)";#N/A,#N/A,FALSE,"GME";#N/A,#N/A,FALSE,"masez"}</definedName>
  </definedNames>
  <calcPr calcId="171027"/>
</workbook>
</file>

<file path=xl/calcChain.xml><?xml version="1.0" encoding="utf-8"?>
<calcChain xmlns="http://schemas.openxmlformats.org/spreadsheetml/2006/main">
  <c r="I14" i="5" l="1"/>
  <c r="L14" i="5" l="1"/>
  <c r="F13" i="3"/>
  <c r="E21" i="3"/>
  <c r="G120" i="5"/>
  <c r="D16" i="4"/>
  <c r="M119" i="5"/>
  <c r="D57" i="7"/>
  <c r="F35" i="7"/>
  <c r="G35" i="7"/>
  <c r="I35" i="7"/>
  <c r="J35" i="7"/>
  <c r="K35" i="7" s="1"/>
  <c r="F36" i="7"/>
  <c r="G36" i="7"/>
  <c r="I36" i="7"/>
  <c r="J36" i="7"/>
  <c r="K36" i="7" s="1"/>
  <c r="F37" i="7"/>
  <c r="G37" i="7"/>
  <c r="I37" i="7"/>
  <c r="J37" i="7"/>
  <c r="K37" i="7" s="1"/>
  <c r="F38" i="7"/>
  <c r="G38" i="7"/>
  <c r="I38" i="7"/>
  <c r="J38" i="7"/>
  <c r="F39" i="7"/>
  <c r="G39" i="7"/>
  <c r="I39" i="7"/>
  <c r="J39" i="7"/>
  <c r="K39" i="7" s="1"/>
  <c r="F40" i="7"/>
  <c r="G40" i="7"/>
  <c r="I40" i="7"/>
  <c r="J40" i="7"/>
  <c r="K40" i="7" s="1"/>
  <c r="F41" i="7"/>
  <c r="G41" i="7"/>
  <c r="I41" i="7"/>
  <c r="J41" i="7"/>
  <c r="K41" i="7" s="1"/>
  <c r="F42" i="7"/>
  <c r="G42" i="7"/>
  <c r="I42" i="7"/>
  <c r="J42" i="7"/>
  <c r="F43" i="7"/>
  <c r="G43" i="7"/>
  <c r="I43" i="7"/>
  <c r="J43" i="7"/>
  <c r="K43" i="7" s="1"/>
  <c r="F44" i="7"/>
  <c r="G44" i="7"/>
  <c r="I44" i="7"/>
  <c r="J44" i="7"/>
  <c r="K44" i="7" s="1"/>
  <c r="F45" i="7"/>
  <c r="G45" i="7"/>
  <c r="I45" i="7"/>
  <c r="J45" i="7"/>
  <c r="K45" i="7" s="1"/>
  <c r="F46" i="7"/>
  <c r="G46" i="7"/>
  <c r="I46" i="7"/>
  <c r="J46" i="7"/>
  <c r="F47" i="7"/>
  <c r="G47" i="7"/>
  <c r="I47" i="7"/>
  <c r="J47" i="7"/>
  <c r="K47" i="7" s="1"/>
  <c r="F48" i="7"/>
  <c r="G48" i="7"/>
  <c r="I48" i="7"/>
  <c r="J48" i="7"/>
  <c r="K48" i="7" s="1"/>
  <c r="F49" i="7"/>
  <c r="G49" i="7"/>
  <c r="I49" i="7"/>
  <c r="J49" i="7"/>
  <c r="K49" i="7" s="1"/>
  <c r="F50" i="7"/>
  <c r="G50" i="7"/>
  <c r="I50" i="7"/>
  <c r="J50" i="7"/>
  <c r="F51" i="7"/>
  <c r="G51" i="7"/>
  <c r="I51" i="7"/>
  <c r="J51" i="7"/>
  <c r="K51" i="7" s="1"/>
  <c r="F52" i="7"/>
  <c r="G52" i="7"/>
  <c r="I52" i="7"/>
  <c r="J52" i="7"/>
  <c r="K52" i="7" s="1"/>
  <c r="J34" i="7"/>
  <c r="I34" i="7"/>
  <c r="G34" i="7"/>
  <c r="F34" i="7"/>
  <c r="K38" i="7"/>
  <c r="K42" i="7"/>
  <c r="K46" i="7"/>
  <c r="K50" i="7"/>
  <c r="K34" i="7"/>
  <c r="F69" i="7"/>
  <c r="F10" i="7"/>
  <c r="I5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34" i="7"/>
  <c r="C19" i="7"/>
  <c r="D19" i="7"/>
  <c r="E19" i="7"/>
  <c r="F19" i="7"/>
  <c r="K19" i="7" s="1"/>
  <c r="G19" i="7"/>
  <c r="C20" i="7"/>
  <c r="D20" i="7"/>
  <c r="E20" i="7"/>
  <c r="F20" i="7"/>
  <c r="K20" i="7" s="1"/>
  <c r="G20" i="7"/>
  <c r="C21" i="7"/>
  <c r="D21" i="7"/>
  <c r="E21" i="7"/>
  <c r="F21" i="7"/>
  <c r="K21" i="7" s="1"/>
  <c r="G21" i="7"/>
  <c r="C22" i="7"/>
  <c r="D22" i="7"/>
  <c r="E22" i="7"/>
  <c r="F22" i="7"/>
  <c r="K22" i="7" s="1"/>
  <c r="G22" i="7"/>
  <c r="C23" i="7"/>
  <c r="D23" i="7"/>
  <c r="E23" i="7"/>
  <c r="F23" i="7"/>
  <c r="K23" i="7" s="1"/>
  <c r="G23" i="7"/>
  <c r="C24" i="7"/>
  <c r="D24" i="7"/>
  <c r="E24" i="7"/>
  <c r="F24" i="7"/>
  <c r="K24" i="7" s="1"/>
  <c r="G24" i="7"/>
  <c r="C25" i="7"/>
  <c r="D25" i="7"/>
  <c r="E25" i="7"/>
  <c r="F25" i="7"/>
  <c r="K25" i="7" s="1"/>
  <c r="G25" i="7"/>
  <c r="F18" i="7"/>
  <c r="G18" i="7"/>
  <c r="D18" i="7"/>
  <c r="J78" i="7"/>
  <c r="J79" i="7"/>
  <c r="F68" i="7"/>
  <c r="F67" i="7"/>
  <c r="E18" i="7"/>
  <c r="C18" i="7"/>
  <c r="E16" i="7"/>
  <c r="E13" i="7"/>
  <c r="F13" i="7"/>
  <c r="F16" i="7" s="1"/>
  <c r="F9" i="7"/>
  <c r="D78" i="7" s="1"/>
  <c r="F8" i="7"/>
  <c r="F7" i="7"/>
  <c r="F6" i="7"/>
  <c r="D77" i="7"/>
  <c r="K58" i="7"/>
  <c r="G32" i="7"/>
  <c r="K30" i="7"/>
  <c r="J27" i="7"/>
  <c r="J32" i="7" s="1"/>
  <c r="I27" i="7"/>
  <c r="G27" i="7"/>
  <c r="K18" i="7"/>
  <c r="I16" i="7"/>
  <c r="I32" i="7" s="1"/>
  <c r="G16" i="7"/>
  <c r="K15" i="7"/>
  <c r="K14" i="7"/>
  <c r="K13" i="7"/>
  <c r="J54" i="7" l="1"/>
  <c r="F54" i="7"/>
  <c r="F27" i="7"/>
  <c r="K27" i="7"/>
  <c r="K32" i="7" s="1"/>
  <c r="F32" i="7"/>
  <c r="K16" i="7"/>
  <c r="K56" i="7" s="1"/>
  <c r="F10" i="4"/>
  <c r="E34" i="4"/>
  <c r="C89" i="6"/>
  <c r="F9" i="4"/>
  <c r="F8" i="4"/>
  <c r="F7" i="4"/>
  <c r="E25" i="1"/>
  <c r="E24" i="1"/>
  <c r="E23" i="1"/>
  <c r="E10" i="1"/>
  <c r="E9" i="1"/>
  <c r="E8" i="1"/>
  <c r="E7" i="1"/>
  <c r="B51" i="3"/>
  <c r="C27" i="3"/>
  <c r="F31" i="3"/>
  <c r="F34" i="3" s="1"/>
  <c r="F17" i="3"/>
  <c r="F16" i="3"/>
  <c r="C25" i="3"/>
  <c r="C22" i="3"/>
  <c r="F11" i="3"/>
  <c r="F10" i="3"/>
  <c r="C10" i="3"/>
  <c r="C9" i="3"/>
  <c r="C6" i="3"/>
  <c r="C7" i="3"/>
  <c r="K130" i="5"/>
  <c r="F9" i="5"/>
  <c r="F8" i="5"/>
  <c r="F7" i="5"/>
  <c r="F5" i="5"/>
  <c r="M120" i="5"/>
  <c r="F124" i="5"/>
  <c r="F127" i="5"/>
  <c r="F130" i="5"/>
  <c r="K57" i="7" l="1"/>
  <c r="K59" i="7"/>
  <c r="K54" i="7"/>
  <c r="D59" i="7"/>
  <c r="D61" i="7" s="1"/>
  <c r="D62" i="7" s="1"/>
  <c r="J68" i="7" s="1"/>
  <c r="F18" i="3"/>
  <c r="F35" i="3" s="1"/>
  <c r="I121" i="5" l="1"/>
  <c r="P5" i="5"/>
  <c r="F2" i="3" s="1"/>
  <c r="O100" i="5"/>
  <c r="H7" i="5"/>
  <c r="L7" i="5"/>
  <c r="Q14" i="5"/>
  <c r="Q100" i="5" l="1"/>
  <c r="Q119" i="5" s="1"/>
  <c r="M14" i="5"/>
  <c r="M100" i="5" s="1"/>
  <c r="J14" i="5"/>
  <c r="J100" i="5" s="1"/>
  <c r="P9" i="5"/>
  <c r="Q7" i="5"/>
  <c r="C24" i="3" s="1"/>
  <c r="O7" i="5"/>
  <c r="C23" i="3" s="1"/>
  <c r="E2" i="6"/>
  <c r="E1" i="6"/>
  <c r="Q120" i="5" l="1"/>
  <c r="H28" i="4"/>
  <c r="I20" i="4"/>
  <c r="J41" i="3"/>
  <c r="J40" i="3"/>
  <c r="J39" i="3"/>
  <c r="K39" i="3" s="1"/>
  <c r="J38" i="3"/>
  <c r="L38" i="3" s="1"/>
  <c r="J37" i="3"/>
  <c r="L37" i="3" s="1"/>
  <c r="J36" i="3"/>
  <c r="L36" i="3" s="1"/>
  <c r="J35" i="3"/>
  <c r="K35" i="3" s="1"/>
  <c r="J4" i="3"/>
  <c r="J3" i="3"/>
  <c r="L40" i="3"/>
  <c r="L41" i="3"/>
  <c r="K17" i="3"/>
  <c r="K23" i="3"/>
  <c r="K18" i="3"/>
  <c r="J19" i="3"/>
  <c r="J20" i="3"/>
  <c r="K24" i="3"/>
  <c r="L6" i="3"/>
  <c r="K25" i="3"/>
  <c r="Q36" i="5"/>
  <c r="J7" i="3"/>
  <c r="J23" i="3"/>
  <c r="J6" i="3"/>
  <c r="J8" i="3"/>
  <c r="J18" i="3"/>
  <c r="K19" i="3"/>
  <c r="K21" i="3"/>
  <c r="K20" i="3"/>
  <c r="J24" i="3"/>
  <c r="K22" i="3"/>
  <c r="J26" i="3"/>
  <c r="J25" i="3"/>
  <c r="J22" i="3"/>
  <c r="J17" i="3"/>
  <c r="J21" i="3"/>
  <c r="J5" i="3"/>
  <c r="K26" i="3"/>
  <c r="L35" i="3" l="1"/>
  <c r="K38" i="3"/>
  <c r="L39" i="3"/>
  <c r="Q121" i="5"/>
  <c r="Q122" i="5" s="1"/>
  <c r="F21" i="3"/>
  <c r="F26" i="3" s="1"/>
  <c r="F27" i="3" s="1"/>
  <c r="K27" i="3"/>
  <c r="E31" i="3"/>
  <c r="E18" i="3"/>
  <c r="E17" i="3"/>
  <c r="E16" i="3"/>
  <c r="E32" i="3"/>
  <c r="E27" i="3"/>
  <c r="L34" i="3"/>
  <c r="E26" i="3"/>
  <c r="E25" i="3"/>
  <c r="E23" i="3"/>
  <c r="E22" i="3"/>
  <c r="K37" i="3"/>
  <c r="K36" i="3"/>
  <c r="L27" i="3" l="1"/>
  <c r="F29" i="3"/>
  <c r="D39" i="4"/>
  <c r="D12" i="4"/>
  <c r="J119" i="5" l="1"/>
  <c r="F120" i="5"/>
  <c r="H34" i="1"/>
  <c r="K41" i="3"/>
  <c r="K40" i="3"/>
  <c r="I48" i="5"/>
  <c r="F86" i="5"/>
  <c r="Q70" i="5"/>
  <c r="N94" i="5"/>
  <c r="J79" i="5"/>
  <c r="C86" i="5"/>
  <c r="F37" i="5"/>
  <c r="C59" i="5"/>
  <c r="Q115" i="5"/>
  <c r="N79" i="5"/>
  <c r="P71" i="5"/>
  <c r="C41" i="5"/>
  <c r="I39" i="5"/>
  <c r="D57" i="5"/>
  <c r="C79" i="5"/>
  <c r="C80" i="5"/>
  <c r="N76" i="5"/>
  <c r="H67" i="5"/>
  <c r="C38" i="5"/>
  <c r="J51" i="5"/>
  <c r="H84" i="5"/>
  <c r="E77" i="5"/>
  <c r="D35" i="5"/>
  <c r="G71" i="5"/>
  <c r="P48" i="5"/>
  <c r="G74" i="5"/>
  <c r="P30" i="5"/>
  <c r="O75" i="5"/>
  <c r="O91" i="5"/>
  <c r="G94" i="5"/>
  <c r="O88" i="5"/>
  <c r="I51" i="5"/>
  <c r="C32" i="5"/>
  <c r="H86" i="5"/>
  <c r="N63" i="5"/>
  <c r="F77" i="5"/>
  <c r="P82" i="5"/>
  <c r="O43" i="5"/>
  <c r="Q31" i="5"/>
  <c r="C90" i="5"/>
  <c r="I94" i="5"/>
  <c r="Q64" i="5"/>
  <c r="I55" i="5"/>
  <c r="E56" i="5"/>
  <c r="C77" i="5"/>
  <c r="J78" i="5"/>
  <c r="J82" i="5"/>
  <c r="O41" i="5"/>
  <c r="N54" i="5"/>
  <c r="P94" i="5"/>
  <c r="O117" i="5"/>
  <c r="Q46" i="5"/>
  <c r="C69" i="5"/>
  <c r="C84" i="5"/>
  <c r="Q49" i="5"/>
  <c r="P36" i="5"/>
  <c r="I66" i="5"/>
  <c r="J92" i="5"/>
  <c r="Q67" i="5"/>
  <c r="F38" i="5"/>
  <c r="E42" i="5"/>
  <c r="P50" i="5"/>
  <c r="F84" i="5"/>
  <c r="P90" i="5"/>
  <c r="F91" i="5"/>
  <c r="D98" i="5"/>
  <c r="N82" i="5"/>
  <c r="H39" i="5"/>
  <c r="E66" i="5"/>
  <c r="J46" i="5"/>
  <c r="N89" i="5"/>
  <c r="G72" i="5"/>
  <c r="I64" i="5"/>
  <c r="I56" i="5"/>
  <c r="G64" i="5"/>
  <c r="Q85" i="5"/>
  <c r="G87" i="5"/>
  <c r="E96" i="5"/>
  <c r="N95" i="5"/>
  <c r="N64" i="5"/>
  <c r="N56" i="5"/>
  <c r="H48" i="5"/>
  <c r="I90" i="5"/>
  <c r="O78" i="5"/>
  <c r="D56" i="5"/>
  <c r="O39" i="5"/>
  <c r="I92" i="5"/>
  <c r="J35" i="5"/>
  <c r="C87" i="5"/>
  <c r="J37" i="5"/>
  <c r="Q82" i="5"/>
  <c r="O32" i="5"/>
  <c r="F45" i="5"/>
  <c r="E91" i="5"/>
  <c r="Q83" i="5"/>
  <c r="E74" i="5"/>
  <c r="P72" i="5"/>
  <c r="D40" i="5"/>
  <c r="E92" i="5"/>
  <c r="G48" i="5"/>
  <c r="I77" i="5"/>
  <c r="O94" i="5"/>
  <c r="G79" i="5"/>
  <c r="F39" i="5"/>
  <c r="C57" i="5"/>
  <c r="F82" i="5"/>
  <c r="D37" i="5"/>
  <c r="E32" i="5"/>
  <c r="F35" i="5"/>
  <c r="D72" i="5"/>
  <c r="H47" i="5"/>
  <c r="O38" i="5"/>
  <c r="I38" i="5"/>
  <c r="J71" i="5"/>
  <c r="C61" i="5"/>
  <c r="H92" i="5"/>
  <c r="N34" i="5"/>
  <c r="J40" i="5"/>
  <c r="O47" i="5"/>
  <c r="Q34" i="5"/>
  <c r="J58" i="5"/>
  <c r="I67" i="5"/>
  <c r="D48" i="5"/>
  <c r="J89" i="5"/>
  <c r="H62" i="5"/>
  <c r="E79" i="5"/>
  <c r="D33" i="5"/>
  <c r="I41" i="5"/>
  <c r="G84" i="5"/>
  <c r="O76" i="5"/>
  <c r="J80" i="5"/>
  <c r="N42" i="5"/>
  <c r="F65" i="5"/>
  <c r="Q88" i="5"/>
  <c r="O50" i="5"/>
  <c r="F71" i="5"/>
  <c r="O61" i="5"/>
  <c r="D55" i="5"/>
  <c r="I45" i="5"/>
  <c r="Q57" i="5"/>
  <c r="D65" i="5"/>
  <c r="J52" i="5"/>
  <c r="H56" i="5"/>
  <c r="I63" i="5"/>
  <c r="P76" i="5"/>
  <c r="C47" i="5"/>
  <c r="E38" i="5"/>
  <c r="I74" i="5"/>
  <c r="J56" i="5"/>
  <c r="N72" i="5"/>
  <c r="Q40" i="5"/>
  <c r="J54" i="5"/>
  <c r="G68" i="5"/>
  <c r="F114" i="5"/>
  <c r="E51" i="5"/>
  <c r="G42" i="5"/>
  <c r="P80" i="5"/>
  <c r="J84" i="5"/>
  <c r="Q37" i="5"/>
  <c r="O97" i="5"/>
  <c r="E98" i="5"/>
  <c r="E67" i="5"/>
  <c r="N92" i="5"/>
  <c r="H90" i="5"/>
  <c r="O48" i="5"/>
  <c r="O82" i="5"/>
  <c r="N84" i="5"/>
  <c r="O80" i="5"/>
  <c r="Q72" i="5"/>
  <c r="J83" i="5"/>
  <c r="P40" i="5"/>
  <c r="I75" i="5"/>
  <c r="N31" i="5"/>
  <c r="E63" i="5"/>
  <c r="E55" i="5"/>
  <c r="N46" i="5"/>
  <c r="N36" i="5"/>
  <c r="H32" i="5"/>
  <c r="J74" i="5"/>
  <c r="E73" i="5"/>
  <c r="O79" i="5"/>
  <c r="J88" i="5"/>
  <c r="E41" i="5"/>
  <c r="C51" i="5"/>
  <c r="G32" i="5"/>
  <c r="I96" i="5"/>
  <c r="P66" i="5"/>
  <c r="H82" i="5"/>
  <c r="F64" i="5"/>
  <c r="O37" i="5"/>
  <c r="Q44" i="5"/>
  <c r="D54" i="5"/>
  <c r="H87" i="5"/>
  <c r="I86" i="5"/>
  <c r="H40" i="5"/>
  <c r="D30" i="5"/>
  <c r="H43" i="5"/>
  <c r="J90" i="5"/>
  <c r="J76" i="5"/>
  <c r="H68" i="5"/>
  <c r="N37" i="5"/>
  <c r="N52" i="5"/>
  <c r="C73" i="5"/>
  <c r="D75" i="5"/>
  <c r="F87" i="5"/>
  <c r="Q61" i="5"/>
  <c r="Q66" i="5"/>
  <c r="N70" i="5"/>
  <c r="E40" i="5"/>
  <c r="J87" i="5"/>
  <c r="F40" i="5"/>
  <c r="O98" i="5"/>
  <c r="J75" i="5"/>
  <c r="J91" i="5"/>
  <c r="N58" i="5"/>
  <c r="J31" i="5"/>
  <c r="P59" i="5"/>
  <c r="P75" i="5"/>
  <c r="N71" i="5"/>
  <c r="E69" i="5"/>
  <c r="E86" i="5"/>
  <c r="O56" i="5"/>
  <c r="C66" i="5"/>
  <c r="D80" i="5"/>
  <c r="P35" i="5"/>
  <c r="D62" i="5"/>
  <c r="D32" i="5"/>
  <c r="N41" i="5"/>
  <c r="C76" i="5"/>
  <c r="H77" i="5"/>
  <c r="C58" i="5"/>
  <c r="N66" i="5"/>
  <c r="D47" i="5"/>
  <c r="G69" i="5"/>
  <c r="E34" i="5"/>
  <c r="N86" i="5"/>
  <c r="E82" i="5"/>
  <c r="J39" i="5"/>
  <c r="N83" i="5"/>
  <c r="I69" i="5"/>
  <c r="H55" i="5"/>
  <c r="F47" i="5"/>
  <c r="E76" i="5"/>
  <c r="E58" i="5"/>
  <c r="Q97" i="5"/>
  <c r="Q56" i="5"/>
  <c r="Q43" i="5"/>
  <c r="N43" i="5"/>
  <c r="N38" i="5"/>
  <c r="H44" i="5"/>
  <c r="P62" i="5"/>
  <c r="C70" i="5"/>
  <c r="N69" i="5"/>
  <c r="D78" i="5"/>
  <c r="G97" i="5"/>
  <c r="P97" i="5"/>
  <c r="I32" i="5"/>
  <c r="I89" i="5"/>
  <c r="D97" i="5"/>
  <c r="F73" i="5"/>
  <c r="I40" i="5"/>
  <c r="F32" i="5"/>
  <c r="H85" i="5"/>
  <c r="Q75" i="5"/>
  <c r="H46" i="5"/>
  <c r="G59" i="5"/>
  <c r="G57" i="5"/>
  <c r="P91" i="5"/>
  <c r="E33" i="5"/>
  <c r="I85" i="5"/>
  <c r="I71" i="5"/>
  <c r="G63" i="5"/>
  <c r="C55" i="5"/>
  <c r="I83" i="5"/>
  <c r="D91" i="5"/>
  <c r="E59" i="5"/>
  <c r="P67" i="5"/>
  <c r="G33" i="5"/>
  <c r="N91" i="5"/>
  <c r="Q93" i="5"/>
  <c r="E44" i="5"/>
  <c r="H89" i="5"/>
  <c r="F58" i="5"/>
  <c r="H57" i="5"/>
  <c r="Q76" i="5"/>
  <c r="O51" i="5"/>
  <c r="J30" i="5"/>
  <c r="C95" i="5"/>
  <c r="C81" i="5"/>
  <c r="I87" i="5"/>
  <c r="J57" i="5"/>
  <c r="J43" i="5"/>
  <c r="G81" i="5"/>
  <c r="Q84" i="5"/>
  <c r="J67" i="5"/>
  <c r="I82" i="5"/>
  <c r="I65" i="5"/>
  <c r="H72" i="5"/>
  <c r="C65" i="5"/>
  <c r="O93" i="5"/>
  <c r="D67" i="5"/>
  <c r="D59" i="5"/>
  <c r="F51" i="5"/>
  <c r="G89" i="5"/>
  <c r="E94" i="5"/>
  <c r="P55" i="5"/>
  <c r="P86" i="5"/>
  <c r="I93" i="5"/>
  <c r="E93" i="5"/>
  <c r="I42" i="5"/>
  <c r="F92" i="5"/>
  <c r="F88" i="5"/>
  <c r="O96" i="5"/>
  <c r="O62" i="5"/>
  <c r="G46" i="5"/>
  <c r="Q81" i="5"/>
  <c r="Q51" i="5"/>
  <c r="G96" i="5"/>
  <c r="C64" i="5"/>
  <c r="D88" i="5"/>
  <c r="O72" i="5"/>
  <c r="O83" i="5"/>
  <c r="H52" i="5"/>
  <c r="P77" i="5"/>
  <c r="J68" i="5"/>
  <c r="E39" i="5"/>
  <c r="D52" i="5"/>
  <c r="Q48" i="5"/>
  <c r="H35" i="5"/>
  <c r="C71" i="5"/>
  <c r="D86" i="5"/>
  <c r="D70" i="5"/>
  <c r="Q60" i="5"/>
  <c r="Q53" i="5"/>
  <c r="O44" i="5"/>
  <c r="G60" i="5"/>
  <c r="J70" i="5"/>
  <c r="F90" i="5"/>
  <c r="C46" i="5"/>
  <c r="N39" i="5"/>
  <c r="J95" i="5"/>
  <c r="C31" i="5"/>
  <c r="Q77" i="5"/>
  <c r="C35" i="5"/>
  <c r="E60" i="5"/>
  <c r="N60" i="5"/>
  <c r="N77" i="5"/>
  <c r="H65" i="5"/>
  <c r="I80" i="5"/>
  <c r="D79" i="5"/>
  <c r="G80" i="5"/>
  <c r="E83" i="5"/>
  <c r="H66" i="5"/>
  <c r="P61" i="5"/>
  <c r="Q90" i="5"/>
  <c r="I73" i="5"/>
  <c r="G66" i="5"/>
  <c r="F52" i="5"/>
  <c r="P89" i="5"/>
  <c r="H94" i="5"/>
  <c r="P43" i="5"/>
  <c r="G37" i="5"/>
  <c r="H45" i="5"/>
  <c r="N93" i="5"/>
  <c r="P42" i="5"/>
  <c r="P41" i="5"/>
  <c r="G39" i="5"/>
  <c r="C34" i="5"/>
  <c r="C75" i="5"/>
  <c r="E75" i="5"/>
  <c r="C39" i="5"/>
  <c r="H54" i="5"/>
  <c r="O42" i="5"/>
  <c r="O31" i="5"/>
  <c r="P70" i="5"/>
  <c r="J44" i="5"/>
  <c r="N81" i="5"/>
  <c r="D83" i="5"/>
  <c r="N44" i="5"/>
  <c r="D89" i="5"/>
  <c r="Q89" i="5"/>
  <c r="D87" i="5"/>
  <c r="G78" i="5"/>
  <c r="Q32" i="5"/>
  <c r="N98" i="5"/>
  <c r="N90" i="5"/>
  <c r="Q94" i="5"/>
  <c r="D51" i="5"/>
  <c r="P93" i="5"/>
  <c r="E53" i="5"/>
  <c r="E61" i="5"/>
  <c r="G75" i="5"/>
  <c r="E81" i="5"/>
  <c r="O81" i="5"/>
  <c r="D64" i="5"/>
  <c r="F83" i="5"/>
  <c r="J47" i="5"/>
  <c r="E68" i="5"/>
  <c r="H49" i="5"/>
  <c r="H91" i="5"/>
  <c r="H37" i="5"/>
  <c r="Q55" i="5"/>
  <c r="O114" i="5"/>
  <c r="N73" i="5"/>
  <c r="G77" i="5"/>
  <c r="J77" i="5"/>
  <c r="H95" i="5"/>
  <c r="Q33" i="5"/>
  <c r="N85" i="5"/>
  <c r="N51" i="5"/>
  <c r="J62" i="5"/>
  <c r="J85" i="5"/>
  <c r="F55" i="5"/>
  <c r="D92" i="5"/>
  <c r="P37" i="5"/>
  <c r="G65" i="5"/>
  <c r="O49" i="5"/>
  <c r="O66" i="5"/>
  <c r="P53" i="5"/>
  <c r="I36" i="5"/>
  <c r="O84" i="5"/>
  <c r="P69" i="5"/>
  <c r="J69" i="5"/>
  <c r="G52" i="5"/>
  <c r="P64" i="5"/>
  <c r="E84" i="5"/>
  <c r="I91" i="5"/>
  <c r="Q63" i="5"/>
  <c r="J36" i="5"/>
  <c r="N30" i="5"/>
  <c r="Q86" i="5"/>
  <c r="C83" i="5"/>
  <c r="H38" i="5"/>
  <c r="G61" i="5"/>
  <c r="I33" i="5"/>
  <c r="O73" i="5"/>
  <c r="J64" i="5"/>
  <c r="J96" i="5"/>
  <c r="G35" i="5"/>
  <c r="D84" i="5"/>
  <c r="C88" i="5"/>
  <c r="I44" i="5"/>
  <c r="H30" i="5"/>
  <c r="D73" i="5"/>
  <c r="H79" i="5"/>
  <c r="F34" i="5"/>
  <c r="P46" i="5"/>
  <c r="C49" i="5"/>
  <c r="E43" i="5"/>
  <c r="G50" i="5"/>
  <c r="F93" i="5"/>
  <c r="N57" i="5"/>
  <c r="O55" i="5"/>
  <c r="C74" i="5"/>
  <c r="Q52" i="5"/>
  <c r="I34" i="5"/>
  <c r="Q54" i="5"/>
  <c r="G95" i="5"/>
  <c r="F48" i="5"/>
  <c r="G88" i="5"/>
  <c r="D45" i="5"/>
  <c r="G53" i="5"/>
  <c r="F97" i="5"/>
  <c r="N75" i="5"/>
  <c r="P34" i="5"/>
  <c r="F66" i="5"/>
  <c r="O92" i="5"/>
  <c r="O35" i="5"/>
  <c r="P63" i="5"/>
  <c r="J65" i="5"/>
  <c r="J61" i="5"/>
  <c r="C94" i="5"/>
  <c r="G86" i="5"/>
  <c r="N96" i="5"/>
  <c r="G41" i="5"/>
  <c r="N32" i="5"/>
  <c r="C63" i="5"/>
  <c r="O116" i="5"/>
  <c r="H36" i="5"/>
  <c r="D69" i="5"/>
  <c r="I53" i="5"/>
  <c r="G34" i="5"/>
  <c r="G83" i="5"/>
  <c r="N68" i="5"/>
  <c r="P74" i="5"/>
  <c r="P84" i="5"/>
  <c r="P83" i="5"/>
  <c r="F69" i="5"/>
  <c r="H75" i="5"/>
  <c r="N53" i="5"/>
  <c r="F96" i="5"/>
  <c r="I47" i="5"/>
  <c r="C37" i="5"/>
  <c r="F44" i="5"/>
  <c r="N49" i="5"/>
  <c r="Q41" i="5"/>
  <c r="F68" i="5"/>
  <c r="D60" i="5"/>
  <c r="G43" i="5"/>
  <c r="P57" i="5"/>
  <c r="F115" i="5"/>
  <c r="Q35" i="5"/>
  <c r="H97" i="5"/>
  <c r="J97" i="5"/>
  <c r="D94" i="5"/>
  <c r="P65" i="5"/>
  <c r="Q79" i="5"/>
  <c r="Q80" i="5"/>
  <c r="E72" i="5"/>
  <c r="D49" i="5"/>
  <c r="F74" i="5"/>
  <c r="I88" i="5"/>
  <c r="N65" i="5"/>
  <c r="C78" i="5"/>
  <c r="Q59" i="5"/>
  <c r="G31" i="5"/>
  <c r="P96" i="5"/>
  <c r="E30" i="5"/>
  <c r="O33" i="5"/>
  <c r="C30" i="5"/>
  <c r="I72" i="5"/>
  <c r="G98" i="5"/>
  <c r="O74" i="5"/>
  <c r="I52" i="5"/>
  <c r="Q47" i="5"/>
  <c r="P79" i="5"/>
  <c r="I76" i="5"/>
  <c r="G38" i="5"/>
  <c r="F61" i="5"/>
  <c r="E95" i="5"/>
  <c r="C56" i="5"/>
  <c r="I50" i="5"/>
  <c r="P78" i="5"/>
  <c r="Q71" i="5"/>
  <c r="D95" i="5"/>
  <c r="G44" i="5"/>
  <c r="I68" i="5"/>
  <c r="F54" i="5"/>
  <c r="O86" i="5"/>
  <c r="C48" i="5"/>
  <c r="P33" i="5"/>
  <c r="F94" i="5"/>
  <c r="D85" i="5"/>
  <c r="G70" i="5"/>
  <c r="Q95" i="5"/>
  <c r="O71" i="5"/>
  <c r="D68" i="5"/>
  <c r="H63" i="5"/>
  <c r="I54" i="5"/>
  <c r="C33" i="5"/>
  <c r="P38" i="5"/>
  <c r="I46" i="5"/>
  <c r="E48" i="5"/>
  <c r="G92" i="5"/>
  <c r="O60" i="5"/>
  <c r="P95" i="5"/>
  <c r="E88" i="5"/>
  <c r="O90" i="5"/>
  <c r="Q62" i="5"/>
  <c r="G73" i="5"/>
  <c r="O45" i="5"/>
  <c r="I35" i="5"/>
  <c r="I61" i="5"/>
  <c r="E47" i="5"/>
  <c r="O67" i="5"/>
  <c r="O95" i="5"/>
  <c r="J50" i="5"/>
  <c r="H71" i="5"/>
  <c r="H64" i="5"/>
  <c r="G30" i="5"/>
  <c r="F95" i="5"/>
  <c r="Q42" i="5"/>
  <c r="Q50" i="5"/>
  <c r="H81" i="5"/>
  <c r="O64" i="5"/>
  <c r="F33" i="5"/>
  <c r="N87" i="5"/>
  <c r="C72" i="5"/>
  <c r="H50" i="5"/>
  <c r="J49" i="5"/>
  <c r="N47" i="5"/>
  <c r="N40" i="5"/>
  <c r="C43" i="5"/>
  <c r="D53" i="5"/>
  <c r="H34" i="5"/>
  <c r="P85" i="5"/>
  <c r="C60" i="5"/>
  <c r="N80" i="5"/>
  <c r="I97" i="5"/>
  <c r="J66" i="5"/>
  <c r="J32" i="5"/>
  <c r="P49" i="5"/>
  <c r="F85" i="5"/>
  <c r="O87" i="5"/>
  <c r="F31" i="5"/>
  <c r="I84" i="5"/>
  <c r="C89" i="5"/>
  <c r="H98" i="5"/>
  <c r="H42" i="5"/>
  <c r="Q74" i="5"/>
  <c r="D44" i="5"/>
  <c r="J41" i="5"/>
  <c r="N59" i="5"/>
  <c r="I43" i="5"/>
  <c r="F42" i="5"/>
  <c r="N50" i="5"/>
  <c r="F46" i="5"/>
  <c r="N33" i="5"/>
  <c r="F76" i="5"/>
  <c r="J81" i="5"/>
  <c r="P92" i="5"/>
  <c r="J53" i="5"/>
  <c r="O57" i="5"/>
  <c r="F50" i="5"/>
  <c r="F81" i="5"/>
  <c r="E31" i="5"/>
  <c r="G93" i="5"/>
  <c r="E49" i="5"/>
  <c r="O46" i="5"/>
  <c r="J73" i="5"/>
  <c r="P31" i="5"/>
  <c r="D38" i="5"/>
  <c r="F41" i="5"/>
  <c r="P44" i="5"/>
  <c r="D90" i="5"/>
  <c r="F67" i="5"/>
  <c r="I95" i="5"/>
  <c r="G56" i="5"/>
  <c r="J59" i="5"/>
  <c r="D31" i="5"/>
  <c r="Q78" i="5"/>
  <c r="G45" i="5"/>
  <c r="H80" i="5"/>
  <c r="N61" i="5"/>
  <c r="D50" i="5"/>
  <c r="C67" i="5"/>
  <c r="I30" i="5"/>
  <c r="G67" i="5"/>
  <c r="J72" i="5"/>
  <c r="P32" i="5"/>
  <c r="P68" i="5"/>
  <c r="N97" i="5"/>
  <c r="Q116" i="5"/>
  <c r="H59" i="5"/>
  <c r="G54" i="5"/>
  <c r="N35" i="5"/>
  <c r="D96" i="5"/>
  <c r="Q65" i="5"/>
  <c r="D43" i="5"/>
  <c r="H33" i="5"/>
  <c r="J45" i="5"/>
  <c r="J94" i="5"/>
  <c r="O85" i="5"/>
  <c r="E54" i="5"/>
  <c r="J48" i="5"/>
  <c r="F43" i="5"/>
  <c r="F57" i="5"/>
  <c r="C50" i="5"/>
  <c r="D93" i="5"/>
  <c r="Q98" i="5"/>
  <c r="D66" i="5"/>
  <c r="Q68" i="5"/>
  <c r="C98" i="5"/>
  <c r="E80" i="5"/>
  <c r="E87" i="5"/>
  <c r="G36" i="5"/>
  <c r="C62" i="5"/>
  <c r="F98" i="5"/>
  <c r="N48" i="5"/>
  <c r="I98" i="5"/>
  <c r="H61" i="5"/>
  <c r="G49" i="5"/>
  <c r="F56" i="5"/>
  <c r="H58" i="5"/>
  <c r="P60" i="5"/>
  <c r="I81" i="5"/>
  <c r="G82" i="5"/>
  <c r="D41" i="5"/>
  <c r="H53" i="5"/>
  <c r="E78" i="5"/>
  <c r="P52" i="5"/>
  <c r="I62" i="5"/>
  <c r="F70" i="5"/>
  <c r="D42" i="5"/>
  <c r="H69" i="5"/>
  <c r="O30" i="5"/>
  <c r="J38" i="5"/>
  <c r="I78" i="5"/>
  <c r="I70" i="5"/>
  <c r="N74" i="5"/>
  <c r="E64" i="5"/>
  <c r="O89" i="5"/>
  <c r="C40" i="5"/>
  <c r="J60" i="5"/>
  <c r="F117" i="5"/>
  <c r="F62" i="5"/>
  <c r="O34" i="5"/>
  <c r="J93" i="5"/>
  <c r="C54" i="5"/>
  <c r="H74" i="5"/>
  <c r="J34" i="5"/>
  <c r="F72" i="5"/>
  <c r="P98" i="5"/>
  <c r="J55" i="5"/>
  <c r="P58" i="5"/>
  <c r="C96" i="5"/>
  <c r="N78" i="5"/>
  <c r="P39" i="5"/>
  <c r="D61" i="5"/>
  <c r="Q30" i="5"/>
  <c r="Q117" i="5"/>
  <c r="F36" i="5"/>
  <c r="N62" i="5"/>
  <c r="D71" i="5"/>
  <c r="O63" i="5"/>
  <c r="O77" i="5"/>
  <c r="O36" i="5"/>
  <c r="C52" i="5"/>
  <c r="D82" i="5"/>
  <c r="O69" i="5"/>
  <c r="Q87" i="5"/>
  <c r="I60" i="5"/>
  <c r="Q114" i="5"/>
  <c r="H83" i="5"/>
  <c r="E65" i="5"/>
  <c r="C92" i="5"/>
  <c r="H73" i="5"/>
  <c r="O59" i="5"/>
  <c r="E85" i="5"/>
  <c r="O70" i="5"/>
  <c r="C85" i="5"/>
  <c r="I59" i="5"/>
  <c r="P73" i="5"/>
  <c r="F116" i="5"/>
  <c r="H78" i="5"/>
  <c r="H51" i="5"/>
  <c r="E37" i="5"/>
  <c r="Q38" i="5"/>
  <c r="F63" i="5"/>
  <c r="I49" i="5"/>
  <c r="P88" i="5"/>
  <c r="E50" i="5"/>
  <c r="Q92" i="5"/>
  <c r="D63" i="5"/>
  <c r="H60" i="5"/>
  <c r="C68" i="5"/>
  <c r="O40" i="5"/>
  <c r="Q58" i="5"/>
  <c r="Q39" i="5"/>
  <c r="I57" i="5"/>
  <c r="P54" i="5"/>
  <c r="H70" i="5"/>
  <c r="O65" i="5"/>
  <c r="H76" i="5"/>
  <c r="E45" i="5"/>
  <c r="O58" i="5"/>
  <c r="D39" i="5"/>
  <c r="E90" i="5"/>
  <c r="D76" i="5"/>
  <c r="C42" i="5"/>
  <c r="P47" i="5"/>
  <c r="Q69" i="5"/>
  <c r="N67" i="5"/>
  <c r="G62" i="5"/>
  <c r="F53" i="5"/>
  <c r="F30" i="5"/>
  <c r="D74" i="5"/>
  <c r="C93" i="5"/>
  <c r="P87" i="5"/>
  <c r="Q45" i="5"/>
  <c r="H88" i="5"/>
  <c r="C45" i="5"/>
  <c r="G91" i="5"/>
  <c r="Q91" i="5"/>
  <c r="E62" i="5"/>
  <c r="C91" i="5"/>
  <c r="J86" i="5"/>
  <c r="D77" i="5"/>
  <c r="F60" i="5"/>
  <c r="F78" i="5"/>
  <c r="G58" i="5"/>
  <c r="F75" i="5"/>
  <c r="F59" i="5"/>
  <c r="I58" i="5"/>
  <c r="G51" i="5"/>
  <c r="N55" i="5"/>
  <c r="P45" i="5"/>
  <c r="G90" i="5"/>
  <c r="D58" i="5"/>
  <c r="O53" i="5"/>
  <c r="N45" i="5"/>
  <c r="D81" i="5"/>
  <c r="J42" i="5"/>
  <c r="G85" i="5"/>
  <c r="G40" i="5"/>
  <c r="E36" i="5"/>
  <c r="F49" i="5"/>
  <c r="E70" i="5"/>
  <c r="E52" i="5"/>
  <c r="J98" i="5"/>
  <c r="D34" i="5"/>
  <c r="P51" i="5"/>
  <c r="P56" i="5"/>
  <c r="H31" i="5"/>
  <c r="C36" i="5"/>
  <c r="H96" i="5"/>
  <c r="E97" i="5"/>
  <c r="H93" i="5"/>
  <c r="D36" i="5"/>
  <c r="E89" i="5"/>
  <c r="G76" i="5"/>
  <c r="P81" i="5"/>
  <c r="O115" i="5"/>
  <c r="H41" i="5"/>
  <c r="J63" i="5"/>
  <c r="F80" i="5"/>
  <c r="Q73" i="5"/>
  <c r="E71" i="5"/>
  <c r="E35" i="5"/>
  <c r="J33" i="5"/>
  <c r="F79" i="5"/>
  <c r="I31" i="5"/>
  <c r="C82" i="5"/>
  <c r="G47" i="5"/>
  <c r="E57" i="5"/>
  <c r="O52" i="5"/>
  <c r="C97" i="5"/>
  <c r="N88" i="5"/>
  <c r="O68" i="5"/>
  <c r="O54" i="5"/>
  <c r="C53" i="5"/>
  <c r="D46" i="5"/>
  <c r="F89" i="5"/>
  <c r="C44" i="5"/>
  <c r="Q96" i="5"/>
  <c r="I37" i="5"/>
  <c r="I79" i="5"/>
  <c r="E46" i="5"/>
  <c r="G55" i="5"/>
  <c r="M46" i="5" l="1"/>
  <c r="K46" i="5" s="1"/>
  <c r="M54" i="5"/>
  <c r="K54" i="5" s="1"/>
  <c r="L53" i="5"/>
  <c r="M68" i="5"/>
  <c r="K68" i="5" s="1"/>
  <c r="M57" i="5"/>
  <c r="K57" i="5" s="1"/>
  <c r="L68" i="5"/>
  <c r="L88" i="5"/>
  <c r="L33" i="5"/>
  <c r="L50" i="5"/>
  <c r="M116" i="5"/>
  <c r="L32" i="5"/>
  <c r="L59" i="5"/>
  <c r="M52" i="5"/>
  <c r="K52" i="5" s="1"/>
  <c r="M70" i="5"/>
  <c r="K70" i="5" s="1"/>
  <c r="L96" i="5"/>
  <c r="M59" i="5"/>
  <c r="K59" i="5" s="1"/>
  <c r="M35" i="5"/>
  <c r="K35" i="5" s="1"/>
  <c r="M92" i="5"/>
  <c r="K92" i="5" s="1"/>
  <c r="M87" i="5"/>
  <c r="K87" i="5" s="1"/>
  <c r="M69" i="5"/>
  <c r="K69" i="5" s="1"/>
  <c r="L75" i="5"/>
  <c r="M36" i="5"/>
  <c r="K36" i="5" s="1"/>
  <c r="M77" i="5"/>
  <c r="K77" i="5" s="1"/>
  <c r="L80" i="5"/>
  <c r="M63" i="5"/>
  <c r="K63" i="5" s="1"/>
  <c r="L62" i="5"/>
  <c r="L40" i="5"/>
  <c r="L47" i="5"/>
  <c r="M55" i="5"/>
  <c r="K55" i="5" s="1"/>
  <c r="L67" i="5"/>
  <c r="L57" i="5"/>
  <c r="L78" i="5"/>
  <c r="L87" i="5"/>
  <c r="M64" i="5"/>
  <c r="K64" i="5" s="1"/>
  <c r="L45" i="5"/>
  <c r="M53" i="5"/>
  <c r="K53" i="5" s="1"/>
  <c r="M34" i="5"/>
  <c r="K34" i="5" s="1"/>
  <c r="M95" i="5"/>
  <c r="K95" i="5" s="1"/>
  <c r="M67" i="5"/>
  <c r="K67" i="5" s="1"/>
  <c r="M89" i="5"/>
  <c r="K89" i="5" s="1"/>
  <c r="M73" i="5"/>
  <c r="K73" i="5" s="1"/>
  <c r="L74" i="5"/>
  <c r="M45" i="5"/>
  <c r="K45" i="5" s="1"/>
  <c r="M30" i="5"/>
  <c r="K30" i="5" s="1"/>
  <c r="M90" i="5"/>
  <c r="K90" i="5" s="1"/>
  <c r="L30" i="5"/>
  <c r="M60" i="5"/>
  <c r="K60" i="5" s="1"/>
  <c r="L55" i="5"/>
  <c r="M58" i="5"/>
  <c r="K58" i="5" s="1"/>
  <c r="M115" i="5"/>
  <c r="M84" i="5"/>
  <c r="K84" i="5" s="1"/>
  <c r="M71" i="5"/>
  <c r="K71" i="5" s="1"/>
  <c r="M66" i="5"/>
  <c r="K66" i="5" s="1"/>
  <c r="M49" i="5"/>
  <c r="K49" i="5" s="1"/>
  <c r="M65" i="5"/>
  <c r="K65" i="5" s="1"/>
  <c r="L48" i="5"/>
  <c r="M86" i="5"/>
  <c r="K86" i="5" s="1"/>
  <c r="L51" i="5"/>
  <c r="L85" i="5"/>
  <c r="L69" i="5"/>
  <c r="L38" i="5"/>
  <c r="M31" i="5"/>
  <c r="K31" i="5" s="1"/>
  <c r="L43" i="5"/>
  <c r="M42" i="5"/>
  <c r="K42" i="5" s="1"/>
  <c r="M47" i="5"/>
  <c r="K47" i="5" s="1"/>
  <c r="L34" i="5"/>
  <c r="L83" i="5"/>
  <c r="M38" i="5"/>
  <c r="K38" i="5" s="1"/>
  <c r="L73" i="5"/>
  <c r="L93" i="5"/>
  <c r="L86" i="5"/>
  <c r="M114" i="5"/>
  <c r="L66" i="5"/>
  <c r="M94" i="5"/>
  <c r="K94" i="5" s="1"/>
  <c r="L41" i="5"/>
  <c r="M56" i="5"/>
  <c r="K56" i="5" s="1"/>
  <c r="L77" i="5"/>
  <c r="L60" i="5"/>
  <c r="L71" i="5"/>
  <c r="M32" i="5"/>
  <c r="K32" i="5" s="1"/>
  <c r="M85" i="5"/>
  <c r="K85" i="5" s="1"/>
  <c r="L58" i="5"/>
  <c r="L39" i="5"/>
  <c r="M39" i="5"/>
  <c r="K39" i="5" s="1"/>
  <c r="M98" i="5"/>
  <c r="K98" i="5" s="1"/>
  <c r="M78" i="5"/>
  <c r="K78" i="5" s="1"/>
  <c r="M44" i="5"/>
  <c r="K44" i="5" s="1"/>
  <c r="L70" i="5"/>
  <c r="L56" i="5"/>
  <c r="M74" i="5"/>
  <c r="K74" i="5" s="1"/>
  <c r="L64" i="5"/>
  <c r="L95" i="5"/>
  <c r="L52" i="5"/>
  <c r="L37" i="5"/>
  <c r="M81" i="5"/>
  <c r="K81" i="5" s="1"/>
  <c r="L89" i="5"/>
  <c r="M40" i="5"/>
  <c r="K40" i="5" s="1"/>
  <c r="M83" i="5"/>
  <c r="K83" i="5" s="1"/>
  <c r="M72" i="5"/>
  <c r="K72" i="5" s="1"/>
  <c r="L82" i="5"/>
  <c r="M37" i="5"/>
  <c r="K37" i="5" s="1"/>
  <c r="L35" i="5"/>
  <c r="M33" i="5"/>
  <c r="K33" i="5" s="1"/>
  <c r="M62" i="5"/>
  <c r="K62" i="5" s="1"/>
  <c r="M96" i="5"/>
  <c r="K96" i="5" s="1"/>
  <c r="M79" i="5"/>
  <c r="K79" i="5" s="1"/>
  <c r="M117" i="5"/>
  <c r="L36" i="5"/>
  <c r="L46" i="5"/>
  <c r="L54" i="5"/>
  <c r="M41" i="5"/>
  <c r="K41" i="5" s="1"/>
  <c r="L97" i="5"/>
  <c r="M93" i="5"/>
  <c r="K93" i="5" s="1"/>
  <c r="L31" i="5"/>
  <c r="M80" i="5"/>
  <c r="K80" i="5" s="1"/>
  <c r="L90" i="5"/>
  <c r="L84" i="5"/>
  <c r="M82" i="5"/>
  <c r="K82" i="5" s="1"/>
  <c r="M48" i="5"/>
  <c r="K48" i="5" s="1"/>
  <c r="M43" i="5"/>
  <c r="K43" i="5" s="1"/>
  <c r="L65" i="5"/>
  <c r="L98" i="5"/>
  <c r="L92" i="5"/>
  <c r="L63" i="5"/>
  <c r="M97" i="5"/>
  <c r="K97" i="5" s="1"/>
  <c r="M51" i="5"/>
  <c r="K51" i="5" s="1"/>
  <c r="M88" i="5"/>
  <c r="K88" i="5" s="1"/>
  <c r="M91" i="5"/>
  <c r="K91" i="5" s="1"/>
  <c r="M75" i="5"/>
  <c r="K75" i="5" s="1"/>
  <c r="L91" i="5"/>
  <c r="L72" i="5"/>
  <c r="L76" i="5"/>
  <c r="L61" i="5"/>
  <c r="L44" i="5"/>
  <c r="L49" i="5"/>
  <c r="M61" i="5"/>
  <c r="K61" i="5" s="1"/>
  <c r="L79" i="5"/>
  <c r="M50" i="5"/>
  <c r="K50" i="5" s="1"/>
  <c r="L42" i="5"/>
  <c r="L81" i="5"/>
  <c r="L94" i="5"/>
  <c r="M76" i="5"/>
  <c r="K76" i="5" s="1"/>
</calcChain>
</file>

<file path=xl/sharedStrings.xml><?xml version="1.0" encoding="utf-8"?>
<sst xmlns="http://schemas.openxmlformats.org/spreadsheetml/2006/main" count="418" uniqueCount="365">
  <si>
    <t>Contrato N°</t>
  </si>
  <si>
    <t>Contratista</t>
  </si>
  <si>
    <t>Nombre del Contrato</t>
  </si>
  <si>
    <t>Fecha de Recepción</t>
  </si>
  <si>
    <t>Fecha de inicio</t>
  </si>
  <si>
    <t xml:space="preserve"> días corridos</t>
  </si>
  <si>
    <t>Fecha de término</t>
  </si>
  <si>
    <t>Plazo real</t>
  </si>
  <si>
    <t>Plazo contractual</t>
  </si>
  <si>
    <t>p.</t>
  </si>
  <si>
    <t>ACTA DE RECEPCIÓN DE SERVICIO</t>
  </si>
  <si>
    <t>Días de antelación</t>
  </si>
  <si>
    <t>Días de atraso</t>
  </si>
  <si>
    <t>3. PLAZO DEL CONTRATO</t>
  </si>
  <si>
    <t>4. OBSERVACIONES</t>
  </si>
  <si>
    <t>1. ALCANCE DEL CONTRATO</t>
  </si>
  <si>
    <t>p. Área Usuaria NuevaUnion</t>
  </si>
  <si>
    <t>Fecha:</t>
  </si>
  <si>
    <t>PROYECTO NUEVAUNION</t>
  </si>
  <si>
    <t>Por esta Acta el Area Usuaria informa que el servcicio fue entregado a conformidad y solicita el cierre del Contrato, luego que se 
encuentren finalizadas las revisiones de los aspectos comerciales y administrativos.</t>
  </si>
  <si>
    <t>a.- Servicio de Mapeo Superficial Sector La Fortuna</t>
  </si>
  <si>
    <t>LETRACOLUMNA</t>
  </si>
  <si>
    <t>USD</t>
  </si>
  <si>
    <t>INFORMACIÓN GENERAL</t>
  </si>
  <si>
    <t>UF</t>
  </si>
  <si>
    <t>Caratula</t>
  </si>
  <si>
    <t>Nº CONTRATO:</t>
  </si>
  <si>
    <t xml:space="preserve">  </t>
  </si>
  <si>
    <t>MANDANTE:</t>
  </si>
  <si>
    <t>CONTRATISTA :</t>
  </si>
  <si>
    <t>RUT :</t>
  </si>
  <si>
    <t>FECHA DE INICIO CONTRATO</t>
  </si>
  <si>
    <t>SERVICIO TERRENO :</t>
  </si>
  <si>
    <t>FECHA DE TÉRMINO CONTRATO</t>
  </si>
  <si>
    <t>VIGENCIA BOLETA (ACT)</t>
  </si>
  <si>
    <t>VALOR ACTUALIZADO DEL SERVICIO</t>
  </si>
  <si>
    <t>Centro de Costos</t>
  </si>
  <si>
    <t>Valor por Cuenta Contable</t>
  </si>
  <si>
    <t>AVANCE DEL SERVICIO</t>
  </si>
  <si>
    <t>Nº</t>
  </si>
  <si>
    <t>NUMERO EDP</t>
  </si>
  <si>
    <t>PERÍODO INICIO</t>
  </si>
  <si>
    <t>PERÍODO TÉRMINO</t>
  </si>
  <si>
    <t>MONEDA</t>
  </si>
  <si>
    <t>CAMBIO UTILIZADO EN EDP</t>
  </si>
  <si>
    <t>IMPUESTO</t>
  </si>
  <si>
    <t>Total</t>
  </si>
  <si>
    <t>RETENCIÓN CONTRACTUAL</t>
  </si>
  <si>
    <t>VALOR NETO EDP (USD)</t>
  </si>
  <si>
    <t>Estados de pagos (6 ultimos)</t>
  </si>
  <si>
    <t>FINIQUITO ADJUNTO</t>
  </si>
  <si>
    <t>AVANCE ACUMULADO EDP</t>
  </si>
  <si>
    <t>Estados de Pago</t>
  </si>
  <si>
    <t>% AVANCE ACUMULADO</t>
  </si>
  <si>
    <t>APROBACIONES</t>
  </si>
  <si>
    <t>A</t>
  </si>
  <si>
    <t>DUEÑO CENTRO COSTO</t>
  </si>
  <si>
    <t>Firma Aprobación</t>
  </si>
  <si>
    <t>Fecha Aprobación</t>
  </si>
  <si>
    <t>B</t>
  </si>
  <si>
    <t>CONTRATOS</t>
  </si>
  <si>
    <t>Michael Leyton B.</t>
  </si>
  <si>
    <t>D</t>
  </si>
  <si>
    <t>GERENTE SERVICIOS</t>
  </si>
  <si>
    <t>Antonio Marambio</t>
  </si>
  <si>
    <t>OBSERVACIONES</t>
  </si>
  <si>
    <t>Proyecto NuevaUnión</t>
  </si>
  <si>
    <t xml:space="preserve">Finiquito </t>
  </si>
  <si>
    <t>Código Contrato / Orden de Servicio</t>
  </si>
  <si>
    <t>Nombre del Contrato :</t>
  </si>
  <si>
    <t>Contratista :</t>
  </si>
  <si>
    <t xml:space="preserve"> </t>
  </si>
  <si>
    <t>Rut :</t>
  </si>
  <si>
    <t xml:space="preserve"> El firmante, para y en consideración del Pago Final por los Servicios realizados para el Proyecto NuevaUnión, certifica lo siguiente: </t>
  </si>
  <si>
    <t>2.   El Contratista además declara que todos sus empleados, sus Subcontratistas y proveedores, contratados por el Contratista en relación con el Proyecto y todas las facturas incurridas hasta la Fecha Actual por los Servicios e impuestos presentadas por dichas partes a el Contratista en relación con la ejecución de los Servicios del Proyecto y que estén correctamente emitidas en relación con los acuerdos del empleado, Subcontratistas y proveedores,  han sido pagadas en su totalidad.</t>
  </si>
  <si>
    <t>3.   Esta Renuncia Final de Derechos es dada en forma libre y voluntaria y el Contratista reconoce y declara que ha revisado los términos y condiciones en su totalidad, que está completamente informado con respecto al efecto legal de esta Renuncia Final de Derechos, y que ha decidido voluntariamente aceptar los términos y condiciones de esta Renuncia Final de Derechos a cambio del Pago Final.</t>
  </si>
  <si>
    <t>4.   El Contratista además está de acuerdo que la aceptación y recibo del Pago Final y el otorgamiento de esta Renuncia Final de Derechos de ninguna manera libera al firmante de continuar sus obligaciones con respecto a la completa realización de cualquiera de los Servicios que quedan pendientes en el Proyecto.</t>
  </si>
  <si>
    <r>
      <t>EN TESTIMONIO DE LO CUAL,</t>
    </r>
    <r>
      <rPr>
        <sz val="9"/>
        <color theme="1"/>
        <rFont val="Arial"/>
        <family val="2"/>
      </rPr>
      <t xml:space="preserve"> esta Renuncia Final de Derechos ha sido ejecutada con fecha</t>
    </r>
  </si>
  <si>
    <t>Representante</t>
  </si>
  <si>
    <t>Michael Hubbard</t>
  </si>
  <si>
    <t>NuevaUnión SpA</t>
  </si>
  <si>
    <t>Representante 1</t>
  </si>
  <si>
    <t>Nombre:</t>
  </si>
  <si>
    <t>Contrato N° :</t>
  </si>
  <si>
    <t xml:space="preserve">Fecha de presentación  :   </t>
  </si>
  <si>
    <t xml:space="preserve">Período desde :          </t>
  </si>
  <si>
    <t>Hasta :</t>
  </si>
  <si>
    <t>RUT Contratista :</t>
  </si>
  <si>
    <t>Descripción:</t>
  </si>
  <si>
    <t>COD.</t>
  </si>
  <si>
    <t>Item</t>
  </si>
  <si>
    <t>Doc</t>
  </si>
  <si>
    <t>Descripción</t>
  </si>
  <si>
    <t>Según  contrato</t>
  </si>
  <si>
    <t>Valor acumulado actual</t>
  </si>
  <si>
    <t>Valor acumulado EdeP anterior</t>
  </si>
  <si>
    <t>Presente EdeP</t>
  </si>
  <si>
    <t>UN</t>
  </si>
  <si>
    <t>CANT</t>
  </si>
  <si>
    <t>P.UNITARIO</t>
  </si>
  <si>
    <t xml:space="preserve">Valor total </t>
  </si>
  <si>
    <t>%</t>
  </si>
  <si>
    <t>Cantidad</t>
  </si>
  <si>
    <t>Valor total</t>
  </si>
  <si>
    <t>TOTALES</t>
  </si>
  <si>
    <t>Devolución de anticipo</t>
  </si>
  <si>
    <t>Retención Legal</t>
  </si>
  <si>
    <t xml:space="preserve">VALOR TOTAL CONTRATO </t>
  </si>
  <si>
    <t>$</t>
  </si>
  <si>
    <t>Impuesto</t>
  </si>
  <si>
    <t>IVA 19%</t>
  </si>
  <si>
    <t>Total a pagar</t>
  </si>
  <si>
    <t>APROBACIONES    CONTRATISTA</t>
  </si>
  <si>
    <t>A P R O B A C I O N E S    NUEVAUNIÓN</t>
  </si>
  <si>
    <t>Nombre</t>
  </si>
  <si>
    <t>Cargo</t>
  </si>
  <si>
    <t>Firma</t>
  </si>
  <si>
    <t>Fecha</t>
  </si>
  <si>
    <t>Administrador Contratos</t>
  </si>
  <si>
    <t>Michael Leyton</t>
  </si>
  <si>
    <t>Coordinador Técnico</t>
  </si>
  <si>
    <t>Supervisor Terreno</t>
  </si>
  <si>
    <t>[Solicitado_por]</t>
  </si>
  <si>
    <t>Nº Datos :</t>
  </si>
  <si>
    <t>id</t>
  </si>
  <si>
    <t>Cuenta</t>
  </si>
  <si>
    <t xml:space="preserve">Descripción </t>
  </si>
  <si>
    <t>Unidad</t>
  </si>
  <si>
    <t>Pu</t>
  </si>
  <si>
    <t xml:space="preserve">Aporte del Mandante </t>
  </si>
  <si>
    <t>I200</t>
  </si>
  <si>
    <t>Nombre Profesional 1</t>
  </si>
  <si>
    <t>Boyd Griffith</t>
  </si>
  <si>
    <t>[Solicitado_Cargo]</t>
  </si>
  <si>
    <t>Nº Contrato :</t>
  </si>
  <si>
    <t>I201</t>
  </si>
  <si>
    <t>Cargo Profesional 1</t>
  </si>
  <si>
    <t>Administrador de Contrato</t>
  </si>
  <si>
    <t>[Mandante]</t>
  </si>
  <si>
    <t>SOCIEDAD CONTRACTUAL MINERA EL MORRO</t>
  </si>
  <si>
    <t>Path :</t>
  </si>
  <si>
    <t>c:/Users/michaelleyton/MiDjango/Proy_Python3/tutorial_P3_4/</t>
  </si>
  <si>
    <t>Aporte N°2 NU al Servicio</t>
  </si>
  <si>
    <t>• Construcción de plataformas niveladas
• Fuente de agua industrial
• Alojamiento y alimentación en campamento
• Punto de conexión a sistema de comunicaciones (voz y datos) a través de internet
• Canales de comunicación y contraparte técnica
• Estanques y surtidores de combustible
• Transporte entre Vallenar y faena para cambio de turno</t>
  </si>
  <si>
    <t>[RUT_Mandante]</t>
  </si>
  <si>
    <t>78.840.880-3</t>
  </si>
  <si>
    <t>I57</t>
  </si>
  <si>
    <t>[Dirección_Mandante]</t>
  </si>
  <si>
    <t>Brasil N°308, Vallenar</t>
  </si>
  <si>
    <t>I58</t>
  </si>
  <si>
    <t>[Denominación]</t>
  </si>
  <si>
    <t>El Morro</t>
  </si>
  <si>
    <t>I59</t>
  </si>
  <si>
    <t>[N_Contrato]</t>
  </si>
  <si>
    <t>NU-IN-SC-281</t>
  </si>
  <si>
    <t>I60</t>
  </si>
  <si>
    <t>[Nombre_Contrato]</t>
  </si>
  <si>
    <t>Sondajes Quebrada La Fortuna, Campaña 2017</t>
  </si>
  <si>
    <t>[Alcance_Contrato]</t>
  </si>
  <si>
    <t>[CentroCosto_Ctto]</t>
  </si>
  <si>
    <t>[Dueño_Ccostos]</t>
  </si>
  <si>
    <t>[Cargo_Dueño_Ccostos]</t>
  </si>
  <si>
    <t>[Fecha_Contrato]</t>
  </si>
  <si>
    <t>[Nombre_RepLegal1_NU]</t>
  </si>
  <si>
    <t>Cesar Ortiz</t>
  </si>
  <si>
    <t>Total :</t>
  </si>
  <si>
    <t>[Rut_RepLegal1_NU]</t>
  </si>
  <si>
    <t>11.436.284-0</t>
  </si>
  <si>
    <t></t>
  </si>
  <si>
    <t>[CargoR_RepLegal1_NU]</t>
  </si>
  <si>
    <t>[Nombre_RepLegal2_NU]</t>
  </si>
  <si>
    <t>Julio Retamal</t>
  </si>
  <si>
    <t>[Rut_RepLegal2_NU]</t>
  </si>
  <si>
    <t>9.727.084-8</t>
  </si>
  <si>
    <t>[CargoR_RepLegal2_NU]</t>
  </si>
  <si>
    <t>[Nombre_Contratista]</t>
  </si>
  <si>
    <t>Griffith Drilling Perforaciones Limitada</t>
  </si>
  <si>
    <t>[Rut_Contratista]</t>
  </si>
  <si>
    <t>76.168.073-0</t>
  </si>
  <si>
    <t>[CargoR_RepLegalctta_NU]</t>
  </si>
  <si>
    <t>[Direccion_Contratista]</t>
  </si>
  <si>
    <t>Parcela 21, Vegas Sur</t>
  </si>
  <si>
    <t>[Comuna_Contratista]</t>
  </si>
  <si>
    <t>La Serena</t>
  </si>
  <si>
    <t>[Ciudad_Contratista]</t>
  </si>
  <si>
    <t>[Teléfono_ContactoCtta]</t>
  </si>
  <si>
    <t>[Correo_ContactoCtta]</t>
  </si>
  <si>
    <t>[Nombre_RepLegal1_Contratista]</t>
  </si>
  <si>
    <t>[Rut_RepLegal1_Ctta]</t>
  </si>
  <si>
    <t>14.522.758-5</t>
  </si>
  <si>
    <t>[Nombre_RepLegal2_Contratista]</t>
  </si>
  <si>
    <t>N/A</t>
  </si>
  <si>
    <t>[Rut_RepLegal2_Ctta]</t>
  </si>
  <si>
    <t>[Documento_Oferta_Ctta]</t>
  </si>
  <si>
    <t>Oferta Técnica y Comercial Griffith Drilling Rev. 2 "Sondaje Quebrada La Fortuna"</t>
  </si>
  <si>
    <t>[Fecha_Oferta_Ctta]</t>
  </si>
  <si>
    <t>[Giro_Comercial_Ctta]</t>
  </si>
  <si>
    <t xml:space="preserve">Extracción de minerales </t>
  </si>
  <si>
    <t>[Nombre_Rep_Contratista]</t>
  </si>
  <si>
    <t>[Fecha_Inicio_Servicio]</t>
  </si>
  <si>
    <t>[Fecha_Inicio_ServicioPalabras]</t>
  </si>
  <si>
    <t>[Fecha_Término_Servicio]</t>
  </si>
  <si>
    <t>[Fecha_Término_ServicioPalabras]</t>
  </si>
  <si>
    <t>[Duración_Servicio]</t>
  </si>
  <si>
    <t>[Duración_Servicio_(palabras)]</t>
  </si>
  <si>
    <t xml:space="preserve"> Cien </t>
  </si>
  <si>
    <t>[Moneda_Servicio]</t>
  </si>
  <si>
    <t>CLP</t>
  </si>
  <si>
    <t>[Valor_Servicio]</t>
  </si>
  <si>
    <t>dos mil trescientos cuarenta y dos millones setecientos veintiocho mil quinientos setenta y dos Pesos</t>
  </si>
  <si>
    <t>[Valor_ServicioPalabras]</t>
  </si>
  <si>
    <t>[Afecto_IVA/retención]</t>
  </si>
  <si>
    <t>Afecto a Iva</t>
  </si>
  <si>
    <t>[N_CuentaCorriente]</t>
  </si>
  <si>
    <t>00-120-17621-01</t>
  </si>
  <si>
    <t>[Nombre_DueñoCuentaCorriente]</t>
  </si>
  <si>
    <t>Griffith Drilling Perforaciones Ltda</t>
  </si>
  <si>
    <t>[Rut_DueñoCuentaCorriente]</t>
  </si>
  <si>
    <t>[Nombre_Banco]</t>
  </si>
  <si>
    <t>Banco de Chile</t>
  </si>
  <si>
    <t>[AplicaBoleta]</t>
  </si>
  <si>
    <t>[Parrafo1_Boleta]</t>
  </si>
  <si>
    <t>33.263.166</t>
  </si>
  <si>
    <t xml:space="preserve"> treinta y tres millones doscientos sesenta y tres mil ciento sesenta y seis Pesos</t>
  </si>
  <si>
    <t>Boleta Garant (Aplica/No Aplica)</t>
  </si>
  <si>
    <t>Aplica</t>
  </si>
  <si>
    <t>[Parrafo2_Boleta]</t>
  </si>
  <si>
    <t>[Parrafo3_Boleta]</t>
  </si>
  <si>
    <t>15</t>
  </si>
  <si>
    <t xml:space="preserve"> quince por ciento</t>
  </si>
  <si>
    <t>[Parrafo4_Boleta]</t>
  </si>
  <si>
    <t>[Valor_Servicio (USD)]</t>
  </si>
  <si>
    <t>[Porcentaje_retenciones]</t>
  </si>
  <si>
    <t>5</t>
  </si>
  <si>
    <t xml:space="preserve"> cinco por ciento</t>
  </si>
  <si>
    <t>Retencion Aplica/No Aplica</t>
  </si>
  <si>
    <t>[Multa (UF) Gerente Proyecto]</t>
  </si>
  <si>
    <t>1000</t>
  </si>
  <si>
    <t>[Multa (UF) Resto Personal Calve]</t>
  </si>
  <si>
    <t>500</t>
  </si>
  <si>
    <t>[Nombre_Coord_Mdte]</t>
  </si>
  <si>
    <t>Sr. Jaime Marín</t>
  </si>
  <si>
    <t>[Cargo_Coord_Mdte]</t>
  </si>
  <si>
    <t>Superintendente Tranque de Relaves</t>
  </si>
  <si>
    <t>[Correo_Coord_ Mdte]</t>
  </si>
  <si>
    <t>Jaime.marin@nuevaunion.cl</t>
  </si>
  <si>
    <t>[Nombre_Rep_Ctta]</t>
  </si>
  <si>
    <t>Sr. Boyd Griffith</t>
  </si>
  <si>
    <t>[Cargo_Rep_Ctta]</t>
  </si>
  <si>
    <t>[Correo_ Rep_Ctta]</t>
  </si>
  <si>
    <t>b.griffith@griffithdrilling.com</t>
  </si>
  <si>
    <t>[Fecha_Personeria_Mdte]</t>
  </si>
  <si>
    <t>[N_Notaría_Personeria_Mdte]</t>
  </si>
  <si>
    <t xml:space="preserve">Décimo Sexta Notaría </t>
  </si>
  <si>
    <t>[Notario_Personeria_Mdte]</t>
  </si>
  <si>
    <t>Antonieta Mendoza Escalas</t>
  </si>
  <si>
    <t>[Fecha Doc. Personería Mdte]</t>
  </si>
  <si>
    <t>[N_Notaría_Personeria_Ctta]</t>
  </si>
  <si>
    <t>Décimo Octava Notaría</t>
  </si>
  <si>
    <t>[Notario_Personeria_Ctta]</t>
  </si>
  <si>
    <t>Patricio Zaldivar</t>
  </si>
  <si>
    <t>[N_CartaAdjudicación]</t>
  </si>
  <si>
    <t>DK-0005-17</t>
  </si>
  <si>
    <t>[Fecha_CartaAdjudicación]</t>
  </si>
  <si>
    <t>[Lugar_PrestacionServicio]</t>
  </si>
  <si>
    <t>la Ciuidad de Santiago, en las instalaciones del Contratista y Terreno en Área de Influencia del Proyecto</t>
  </si>
  <si>
    <t>[Nota; Los Valores indicados son Netos, e incluyen la retención legal de 10% ?]</t>
  </si>
  <si>
    <t>Los valores indicados son netos</t>
  </si>
  <si>
    <t>[modalidad_Servicio]</t>
  </si>
  <si>
    <t>Contrato Mixto con partidas cotizadas a Suma Alzada y serie de Precios Unitarios</t>
  </si>
  <si>
    <t>[Anticipo%]</t>
  </si>
  <si>
    <t xml:space="preserve"> No Considera Anticipo</t>
  </si>
  <si>
    <t xml:space="preserve">Este Contrato (No Considera Anticipo/ Considera un Anticipo del 30%, equivalenta a CLP </t>
  </si>
  <si>
    <t>[Multa%]</t>
  </si>
  <si>
    <t>0,1</t>
  </si>
  <si>
    <t>cero coma uno por ciento</t>
  </si>
  <si>
    <t>[Gasto_Rechazado]</t>
  </si>
  <si>
    <t>[Justificación_Antcipo]</t>
  </si>
  <si>
    <t>[Justificación_NoPersonalLocal]</t>
  </si>
  <si>
    <t>[Justificación_SoleSource]</t>
  </si>
  <si>
    <t>[Fecha] (hoy)</t>
  </si>
  <si>
    <t>Devolución de Retenciones</t>
  </si>
  <si>
    <t>1</t>
  </si>
  <si>
    <t>Gl</t>
  </si>
  <si>
    <t>Retenciones Acumuladas</t>
  </si>
  <si>
    <t>DevoluciónAnticipos pendientes</t>
  </si>
  <si>
    <t>EDP Retenciones</t>
  </si>
  <si>
    <t>Factor moneda</t>
  </si>
  <si>
    <t>Moneda  :</t>
  </si>
  <si>
    <t>Valor EDP</t>
  </si>
  <si>
    <t>Valor ODC</t>
  </si>
  <si>
    <t>Vigencia Boleta</t>
  </si>
  <si>
    <t>Fecha termino Actualizado</t>
  </si>
  <si>
    <t xml:space="preserve">   </t>
  </si>
  <si>
    <t>T/C</t>
  </si>
  <si>
    <t>:</t>
  </si>
  <si>
    <t>N° de Contrato</t>
  </si>
  <si>
    <t>R.U.T.</t>
  </si>
  <si>
    <t>Período</t>
  </si>
  <si>
    <t>Moneda</t>
  </si>
  <si>
    <t>Monto Neto ($)</t>
  </si>
  <si>
    <t>Devolución  Anticipo ($)</t>
  </si>
  <si>
    <t>Reajuste
Contrato</t>
  </si>
  <si>
    <t>Retención Contrato ($)</t>
  </si>
  <si>
    <t>Devolución  Retención ($)</t>
  </si>
  <si>
    <t>Totales</t>
  </si>
  <si>
    <t>Estado</t>
  </si>
  <si>
    <t>Fecha presentación en rev. 0</t>
  </si>
  <si>
    <t>Fecha presentación en rev. 1</t>
  </si>
  <si>
    <t>Nº Factura / Boleta</t>
  </si>
  <si>
    <t>Contrato Base:</t>
  </si>
  <si>
    <t>TOTAL CONTRATO BASE</t>
  </si>
  <si>
    <t>Adicionales</t>
  </si>
  <si>
    <t>Fecha de Térmimo</t>
  </si>
  <si>
    <t>Ceco</t>
  </si>
  <si>
    <t>TOTAL ADICIONALES</t>
  </si>
  <si>
    <t>Trends</t>
  </si>
  <si>
    <t>TOTAL TRENDS</t>
  </si>
  <si>
    <t>TOTAL CONTRATO BASE + ADICIONALES+ TRENDS</t>
  </si>
  <si>
    <t>Por pagar</t>
  </si>
  <si>
    <t>TOTAL CONTRATO BASE + ADICIONALES</t>
  </si>
  <si>
    <t>Resumen:</t>
  </si>
  <si>
    <t>Base</t>
  </si>
  <si>
    <t>Total Pagado</t>
  </si>
  <si>
    <t>Estimaciones</t>
  </si>
  <si>
    <t>Por Pagar Contrato</t>
  </si>
  <si>
    <t>N° EDPs por Pagar</t>
  </si>
  <si>
    <t>Total Precio Contrato</t>
  </si>
  <si>
    <t>INFORMACIÓN GENERAL DEL CONTRATO</t>
  </si>
  <si>
    <t>PROVISIÓN</t>
  </si>
  <si>
    <t>Plazos</t>
  </si>
  <si>
    <t>N° Último EDP Aprobado</t>
  </si>
  <si>
    <t>Período EDP</t>
  </si>
  <si>
    <t>Fecha de término Actulizado</t>
  </si>
  <si>
    <t>OC-0</t>
  </si>
  <si>
    <t>Monto ($)</t>
  </si>
  <si>
    <t>Boleta de garantía fiel cumplimiento</t>
  </si>
  <si>
    <t>Boleta de garantía calidad de la obra</t>
  </si>
  <si>
    <t>Observaciones</t>
  </si>
  <si>
    <t>Multas asociadas por atraso</t>
  </si>
  <si>
    <t>Descuentos (partidas eliminadas, no realizadas, etc.)</t>
  </si>
  <si>
    <t>Acta de recepción provisoria</t>
  </si>
  <si>
    <t>O/C</t>
  </si>
  <si>
    <t>Centro Costo</t>
  </si>
  <si>
    <t>Retención</t>
  </si>
  <si>
    <t>INSTRUCCIONES BANCARIAS</t>
  </si>
  <si>
    <t>ESTATUS CONTRATO</t>
  </si>
  <si>
    <t>RUT</t>
  </si>
  <si>
    <t>Gerencia Usuaria</t>
  </si>
  <si>
    <t xml:space="preserve">Banco </t>
  </si>
  <si>
    <t>Mandante</t>
  </si>
  <si>
    <t>Cta. Cte.</t>
  </si>
  <si>
    <t>Terreno</t>
  </si>
  <si>
    <t>N° EDP</t>
  </si>
  <si>
    <t>N° ODC</t>
  </si>
  <si>
    <t>F. Termino</t>
  </si>
  <si>
    <t>Monto</t>
  </si>
  <si>
    <t>F. Ini Periodo</t>
  </si>
  <si>
    <t>F. Term Periodo</t>
  </si>
  <si>
    <t>Dev Anticipo</t>
  </si>
  <si>
    <t>Reten Ctto</t>
  </si>
  <si>
    <t>Dev Reten</t>
  </si>
  <si>
    <t>N° Factura</t>
  </si>
  <si>
    <t>12</t>
  </si>
  <si>
    <t>CARATULA APROBACIÓN DE ESTADO DE PAGO
 (DEVOLUCIÓN DE RETENCIONES)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</si>
</sst>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1" formatCode="_ * #,##0_ ;_ * \-#,##0_ ;_ * &quot;-&quot;_ ;_ @_ "/>
    <numFmt numFmtId="43" formatCode="_ * #,##0.00_ ;_ * \-#,##0.00_ ;_ * &quot;-&quot;??_ ;_ @_ "/>
    <numFmt numFmtId="164" formatCode="_-* #,##0.00_-;\-* #,##0.00_-;_-* &quot;-&quot;??_-;_-@_-"/>
    <numFmt numFmtId="165" formatCode="[$-C0A]d/mmm/yy;@"/>
    <numFmt numFmtId="166" formatCode="#,##0.0"/>
    <numFmt numFmtId="167" formatCode="#,##0.0_);\(#,##0.0\);_(* &quot;-&quot;_)"/>
    <numFmt numFmtId="168" formatCode="[$-C0A]dd/mm/yyyy;@"/>
    <numFmt numFmtId="169" formatCode="_-* #,##0_-;\-* #,##0_-;_-* &quot;-&quot;??_-;_-@_-"/>
    <numFmt numFmtId="170" formatCode="0.0%"/>
    <numFmt numFmtId="171" formatCode="0.00%;[Red]\(0.00%\);\-"/>
    <numFmt numFmtId="172" formatCode="_(* #,##0_);_(* \(#,##0\);_(* &quot;&quot;?_);_(@_)"/>
    <numFmt numFmtId="173" formatCode="d/m/yy;@"/>
  </numFmts>
  <fonts count="5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Symbol"/>
      <family val="1"/>
      <charset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3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sz val="8"/>
      <color theme="1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color theme="2" tint="-9.9978637043366805E-2"/>
      <name val="Arial"/>
      <family val="2"/>
    </font>
    <font>
      <sz val="10"/>
      <color theme="0"/>
      <name val="Arial"/>
      <family val="2"/>
    </font>
    <font>
      <b/>
      <sz val="10"/>
      <color indexed="8"/>
      <name val="Arial"/>
      <family val="2"/>
    </font>
    <font>
      <sz val="14"/>
      <color theme="0"/>
      <name val="Arial"/>
      <family val="2"/>
    </font>
    <font>
      <sz val="14"/>
      <name val="Arial"/>
      <family val="2"/>
    </font>
    <font>
      <sz val="10"/>
      <color rgb="FF000000"/>
      <name val="Arial"/>
      <family val="2"/>
    </font>
    <font>
      <sz val="10"/>
      <color theme="10"/>
      <name val="Arial"/>
      <family val="2"/>
    </font>
    <font>
      <b/>
      <sz val="11"/>
      <name val="Calibri"/>
      <family val="2"/>
      <scheme val="minor"/>
    </font>
    <font>
      <sz val="11"/>
      <color theme="3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8FFD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1"/>
        <bgColor indexed="64"/>
      </patternFill>
    </fill>
  </fills>
  <borders count="1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/>
      <right style="double">
        <color theme="0" tint="-0.14993743705557422"/>
      </right>
      <top style="double">
        <color theme="0" tint="-0.14996795556505021"/>
      </top>
      <bottom/>
      <diagonal/>
    </border>
    <border>
      <left style="double">
        <color theme="0" tint="-0.14993743705557422"/>
      </left>
      <right/>
      <top/>
      <bottom/>
      <diagonal/>
    </border>
    <border>
      <left/>
      <right style="double">
        <color theme="0" tint="-0.14993743705557422"/>
      </right>
      <top/>
      <bottom/>
      <diagonal/>
    </border>
    <border>
      <left style="double">
        <color theme="0" tint="-0.24994659260841701"/>
      </left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/>
      <top style="double">
        <color indexed="22"/>
      </top>
      <bottom style="double">
        <color indexed="22"/>
      </bottom>
      <diagonal/>
    </border>
    <border>
      <left style="double">
        <color indexed="22"/>
      </left>
      <right style="double">
        <color indexed="22"/>
      </right>
      <top style="double">
        <color indexed="22"/>
      </top>
      <bottom style="double">
        <color indexed="22"/>
      </bottom>
      <diagonal/>
    </border>
    <border>
      <left/>
      <right style="double">
        <color indexed="22"/>
      </right>
      <top style="double">
        <color indexed="22"/>
      </top>
      <bottom style="double">
        <color indexed="22"/>
      </bottom>
      <diagonal/>
    </border>
    <border>
      <left/>
      <right/>
      <top style="double">
        <color theme="0" tint="-0.24994659260841701"/>
      </top>
      <bottom/>
      <diagonal/>
    </border>
    <border>
      <left style="double">
        <color indexed="22"/>
      </left>
      <right style="double">
        <color indexed="22"/>
      </right>
      <top/>
      <bottom/>
      <diagonal/>
    </border>
    <border>
      <left/>
      <right/>
      <top/>
      <bottom style="double">
        <color theme="0" tint="-0.24994659260841701"/>
      </bottom>
      <diagonal/>
    </border>
    <border>
      <left style="double">
        <color theme="0" tint="-0.14993743705557422"/>
      </left>
      <right/>
      <top style="double">
        <color indexed="22"/>
      </top>
      <bottom style="double">
        <color indexed="22"/>
      </bottom>
      <diagonal/>
    </border>
    <border>
      <left/>
      <right/>
      <top style="double">
        <color theme="0" tint="-0.24994659260841701"/>
      </top>
      <bottom style="double">
        <color indexed="22"/>
      </bottom>
      <diagonal/>
    </border>
    <border>
      <left style="double">
        <color indexed="22"/>
      </left>
      <right style="double">
        <color indexed="22"/>
      </right>
      <top style="double">
        <color theme="0" tint="-0.24994659260841701"/>
      </top>
      <bottom style="double">
        <color indexed="22"/>
      </bottom>
      <diagonal/>
    </border>
    <border>
      <left/>
      <right style="double">
        <color theme="0" tint="-0.14993743705557422"/>
      </right>
      <top style="double">
        <color indexed="22"/>
      </top>
      <bottom style="double">
        <color indexed="22"/>
      </bottom>
      <diagonal/>
    </border>
    <border>
      <left style="double">
        <color theme="0" tint="-0.14993743705557422"/>
      </left>
      <right/>
      <top style="double">
        <color theme="0" tint="-0.14993743705557422"/>
      </top>
      <bottom/>
      <diagonal/>
    </border>
    <border>
      <left/>
      <right/>
      <top style="double">
        <color theme="0" tint="-0.14993743705557422"/>
      </top>
      <bottom/>
      <diagonal/>
    </border>
    <border>
      <left style="double">
        <color indexed="22"/>
      </left>
      <right style="double">
        <color indexed="22"/>
      </right>
      <top style="double">
        <color theme="0" tint="-0.14990691854609822"/>
      </top>
      <bottom/>
      <diagonal/>
    </border>
    <border>
      <left/>
      <right style="double">
        <color theme="0" tint="-0.14993743705557422"/>
      </right>
      <top style="double">
        <color theme="0" tint="-0.14993743705557422"/>
      </top>
      <bottom/>
      <diagonal/>
    </border>
    <border>
      <left style="double">
        <color theme="0" tint="-0.14993743705557422"/>
      </left>
      <right/>
      <top style="double">
        <color theme="0" tint="-0.14990691854609822"/>
      </top>
      <bottom/>
      <diagonal/>
    </border>
    <border>
      <left/>
      <right/>
      <top style="double">
        <color theme="0" tint="-0.14990691854609822"/>
      </top>
      <bottom/>
      <diagonal/>
    </border>
    <border>
      <left/>
      <right style="double">
        <color theme="0" tint="-0.14993743705557422"/>
      </right>
      <top style="double">
        <color theme="0" tint="-0.14990691854609822"/>
      </top>
      <bottom/>
      <diagonal/>
    </border>
    <border>
      <left style="double">
        <color theme="0" tint="-0.14993743705557422"/>
      </left>
      <right/>
      <top/>
      <bottom style="double">
        <color theme="0" tint="-0.14990691854609822"/>
      </bottom>
      <diagonal/>
    </border>
    <border>
      <left/>
      <right/>
      <top/>
      <bottom style="double">
        <color theme="0" tint="-0.14990691854609822"/>
      </bottom>
      <diagonal/>
    </border>
    <border>
      <left/>
      <right style="double">
        <color theme="0" tint="-0.14993743705557422"/>
      </right>
      <top/>
      <bottom style="double">
        <color theme="0" tint="-0.14990691854609822"/>
      </bottom>
      <diagonal/>
    </border>
    <border>
      <left style="double">
        <color theme="0" tint="-0.14993743705557422"/>
      </left>
      <right/>
      <top style="double">
        <color indexed="22"/>
      </top>
      <bottom style="double">
        <color theme="0" tint="-0.24994659260841701"/>
      </bottom>
      <diagonal/>
    </border>
    <border>
      <left/>
      <right/>
      <top style="double">
        <color indexed="22"/>
      </top>
      <bottom style="double">
        <color theme="0" tint="-0.24994659260841701"/>
      </bottom>
      <diagonal/>
    </border>
    <border>
      <left style="double">
        <color indexed="22"/>
      </left>
      <right style="double">
        <color indexed="22"/>
      </right>
      <top style="double">
        <color indexed="22"/>
      </top>
      <bottom style="double">
        <color theme="0" tint="-0.24994659260841701"/>
      </bottom>
      <diagonal/>
    </border>
    <border>
      <left/>
      <right style="double">
        <color theme="0" tint="-0.14993743705557422"/>
      </right>
      <top style="double">
        <color indexed="22"/>
      </top>
      <bottom style="double">
        <color theme="0" tint="-0.24994659260841701"/>
      </bottom>
      <diagonal/>
    </border>
    <border>
      <left style="double">
        <color theme="0" tint="-0.14993743705557422"/>
      </left>
      <right/>
      <top/>
      <bottom style="double">
        <color theme="0" tint="-0.14993743705557422"/>
      </bottom>
      <diagonal/>
    </border>
    <border>
      <left/>
      <right/>
      <top/>
      <bottom style="double">
        <color theme="0" tint="-0.14996795556505021"/>
      </bottom>
      <diagonal/>
    </border>
    <border>
      <left/>
      <right/>
      <top/>
      <bottom style="double">
        <color theme="0" tint="-0.14993743705557422"/>
      </bottom>
      <diagonal/>
    </border>
    <border>
      <left style="double">
        <color indexed="22"/>
      </left>
      <right style="double">
        <color indexed="22"/>
      </right>
      <top/>
      <bottom style="double">
        <color theme="0" tint="-0.14993743705557422"/>
      </bottom>
      <diagonal/>
    </border>
    <border>
      <left/>
      <right style="double">
        <color theme="0" tint="-0.14993743705557422"/>
      </right>
      <top/>
      <bottom style="double">
        <color theme="0" tint="-0.14993743705557422"/>
      </bottom>
      <diagonal/>
    </border>
    <border>
      <left style="double">
        <color theme="0" tint="-0.14993743705557422"/>
      </left>
      <right/>
      <top style="double">
        <color theme="0" tint="-0.24994659260841701"/>
      </top>
      <bottom style="double">
        <color indexed="22"/>
      </bottom>
      <diagonal/>
    </border>
    <border>
      <left/>
      <right style="double">
        <color theme="0" tint="-0.14993743705557422"/>
      </right>
      <top style="double">
        <color theme="0" tint="-0.24994659260841701"/>
      </top>
      <bottom style="double">
        <color indexed="22"/>
      </bottom>
      <diagonal/>
    </border>
    <border>
      <left style="double">
        <color theme="0" tint="-0.14993743705557422"/>
      </left>
      <right/>
      <top style="double">
        <color indexed="22"/>
      </top>
      <bottom/>
      <diagonal/>
    </border>
    <border>
      <left/>
      <right/>
      <top style="double">
        <color indexed="22"/>
      </top>
      <bottom/>
      <diagonal/>
    </border>
    <border>
      <left/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/>
      <top style="double">
        <color indexed="22"/>
      </top>
      <bottom/>
      <diagonal/>
    </border>
    <border>
      <left/>
      <right style="double">
        <color theme="0" tint="-0.14993743705557422"/>
      </right>
      <top style="double">
        <color indexed="22"/>
      </top>
      <bottom/>
      <diagonal/>
    </border>
    <border>
      <left style="double">
        <color indexed="22"/>
      </left>
      <right/>
      <top/>
      <bottom/>
      <diagonal/>
    </border>
    <border>
      <left style="double">
        <color theme="0" tint="-0.14993743705557422"/>
      </left>
      <right/>
      <top/>
      <bottom style="double">
        <color theme="0" tint="-0.24994659260841701"/>
      </bottom>
      <diagonal/>
    </border>
    <border>
      <left style="double">
        <color indexed="22"/>
      </left>
      <right/>
      <top/>
      <bottom style="double">
        <color theme="0" tint="-0.24994659260841701"/>
      </bottom>
      <diagonal/>
    </border>
    <border>
      <left/>
      <right style="double">
        <color theme="0" tint="-0.14993743705557422"/>
      </right>
      <top/>
      <bottom style="double">
        <color theme="0" tint="-0.24994659260841701"/>
      </bottom>
      <diagonal/>
    </border>
    <border>
      <left style="double">
        <color theme="0" tint="-0.14993743705557422"/>
      </left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/>
      <right style="double">
        <color theme="0" tint="-0.14993743705557422"/>
      </right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  <border>
      <left/>
      <right style="double">
        <color indexed="22"/>
      </right>
      <top style="double">
        <color indexed="22"/>
      </top>
      <bottom style="thin">
        <color indexed="22"/>
      </bottom>
      <diagonal/>
    </border>
    <border>
      <left/>
      <right/>
      <top style="double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double">
        <color indexed="22"/>
      </right>
      <top style="thin">
        <color indexed="22"/>
      </top>
      <bottom style="thin">
        <color indexed="22"/>
      </bottom>
      <diagonal/>
    </border>
  </borders>
  <cellStyleXfs count="19">
    <xf numFmtId="0" fontId="0" fillId="0" borderId="0"/>
    <xf numFmtId="0" fontId="7" fillId="0" borderId="0"/>
    <xf numFmtId="164" fontId="8" fillId="0" borderId="0" applyFont="0" applyFill="0" applyBorder="0" applyAlignment="0" applyProtection="0"/>
    <xf numFmtId="0" fontId="6" fillId="0" borderId="0"/>
    <xf numFmtId="0" fontId="6" fillId="0" borderId="0"/>
    <xf numFmtId="0" fontId="10" fillId="0" borderId="0"/>
    <xf numFmtId="164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0" fillId="0" borderId="0"/>
    <xf numFmtId="0" fontId="7" fillId="0" borderId="0"/>
    <xf numFmtId="164" fontId="7" fillId="0" borderId="0" applyFont="0" applyFill="0" applyBorder="0" applyAlignment="0" applyProtection="0"/>
    <xf numFmtId="0" fontId="7" fillId="0" borderId="0"/>
    <xf numFmtId="43" fontId="10" fillId="0" borderId="0" applyFont="0" applyFill="0" applyBorder="0" applyAlignment="0" applyProtection="0"/>
    <xf numFmtId="0" fontId="41" fillId="0" borderId="0"/>
    <xf numFmtId="0" fontId="42" fillId="0" borderId="0"/>
    <xf numFmtId="165" fontId="6" fillId="0" borderId="0"/>
    <xf numFmtId="165" fontId="7" fillId="0" borderId="0"/>
  </cellStyleXfs>
  <cellXfs count="727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1" fillId="0" borderId="0" xfId="0" applyFont="1" applyBorder="1"/>
    <xf numFmtId="14" fontId="0" fillId="0" borderId="0" xfId="0" applyNumberFormat="1" applyBorder="1"/>
    <xf numFmtId="1" fontId="0" fillId="0" borderId="0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2" xfId="0" applyFont="1" applyBorder="1" applyAlignment="1"/>
    <xf numFmtId="0" fontId="1" fillId="0" borderId="2" xfId="0" applyFont="1" applyBorder="1" applyAlignment="1">
      <alignment horizontal="right"/>
    </xf>
    <xf numFmtId="0" fontId="4" fillId="0" borderId="0" xfId="0" applyFont="1" applyAlignment="1">
      <alignment horizontal="justify" vertical="center"/>
    </xf>
    <xf numFmtId="165" fontId="0" fillId="0" borderId="1" xfId="0" applyNumberFormat="1" applyFill="1" applyBorder="1" applyAlignment="1">
      <alignment horizontal="left"/>
    </xf>
    <xf numFmtId="0" fontId="1" fillId="0" borderId="0" xfId="0" applyFont="1" applyBorder="1" applyAlignment="1"/>
    <xf numFmtId="14" fontId="0" fillId="0" borderId="0" xfId="0" applyNumberFormat="1"/>
    <xf numFmtId="3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10" fillId="0" borderId="1" xfId="0" applyFont="1" applyBorder="1"/>
    <xf numFmtId="0" fontId="0" fillId="0" borderId="0" xfId="0" applyFont="1" applyBorder="1"/>
    <xf numFmtId="0" fontId="10" fillId="0" borderId="0" xfId="5"/>
    <xf numFmtId="0" fontId="6" fillId="0" borderId="0" xfId="4"/>
    <xf numFmtId="0" fontId="13" fillId="0" borderId="0" xfId="4" applyFont="1" applyAlignment="1">
      <alignment horizontal="right"/>
    </xf>
    <xf numFmtId="14" fontId="13" fillId="0" borderId="0" xfId="4" applyNumberFormat="1" applyFont="1" applyAlignment="1">
      <alignment horizontal="right"/>
    </xf>
    <xf numFmtId="0" fontId="14" fillId="0" borderId="0" xfId="4" applyFont="1"/>
    <xf numFmtId="0" fontId="0" fillId="0" borderId="0" xfId="4" applyFont="1" applyAlignment="1">
      <alignment horizontal="center"/>
    </xf>
    <xf numFmtId="0" fontId="15" fillId="2" borderId="0" xfId="4" applyFont="1" applyFill="1" applyAlignment="1">
      <alignment horizontal="center"/>
    </xf>
    <xf numFmtId="4" fontId="13" fillId="0" borderId="0" xfId="4" applyNumberFormat="1" applyFont="1" applyAlignment="1">
      <alignment horizontal="left"/>
    </xf>
    <xf numFmtId="0" fontId="1" fillId="0" borderId="0" xfId="4" applyFont="1"/>
    <xf numFmtId="0" fontId="6" fillId="0" borderId="0" xfId="4" applyAlignment="1">
      <alignment horizontal="right"/>
    </xf>
    <xf numFmtId="0" fontId="0" fillId="0" borderId="0" xfId="4" applyFont="1" applyAlignment="1">
      <alignment horizontal="right"/>
    </xf>
    <xf numFmtId="0" fontId="6" fillId="3" borderId="0" xfId="4" applyFill="1"/>
    <xf numFmtId="0" fontId="6" fillId="0" borderId="12" xfId="4" applyBorder="1" applyAlignment="1">
      <alignment vertical="center"/>
    </xf>
    <xf numFmtId="0" fontId="6" fillId="0" borderId="12" xfId="4" applyBorder="1" applyAlignment="1">
      <alignment horizontal="left" vertical="center"/>
    </xf>
    <xf numFmtId="0" fontId="6" fillId="0" borderId="13" xfId="4" applyBorder="1" applyAlignment="1">
      <alignment horizontal="left" vertical="center"/>
    </xf>
    <xf numFmtId="0" fontId="6" fillId="0" borderId="14" xfId="4" applyBorder="1" applyAlignment="1">
      <alignment horizontal="left" vertical="center"/>
    </xf>
    <xf numFmtId="0" fontId="6" fillId="0" borderId="0" xfId="4" applyBorder="1"/>
    <xf numFmtId="14" fontId="6" fillId="0" borderId="15" xfId="4" applyNumberFormat="1" applyFont="1" applyBorder="1" applyAlignment="1">
      <alignment horizontal="left"/>
    </xf>
    <xf numFmtId="14" fontId="6" fillId="0" borderId="15" xfId="4" applyNumberFormat="1" applyBorder="1" applyAlignment="1">
      <alignment horizontal="left"/>
    </xf>
    <xf numFmtId="14" fontId="1" fillId="3" borderId="0" xfId="4" applyNumberFormat="1" applyFont="1" applyFill="1" applyAlignment="1">
      <alignment horizontal="center" vertical="center"/>
    </xf>
    <xf numFmtId="0" fontId="16" fillId="0" borderId="0" xfId="4" applyFont="1" applyAlignment="1">
      <alignment horizontal="center"/>
    </xf>
    <xf numFmtId="166" fontId="6" fillId="0" borderId="15" xfId="4" applyNumberFormat="1" applyBorder="1"/>
    <xf numFmtId="20" fontId="6" fillId="0" borderId="0" xfId="4" applyNumberFormat="1" applyAlignment="1">
      <alignment horizontal="right"/>
    </xf>
    <xf numFmtId="167" fontId="10" fillId="4" borderId="0" xfId="5" applyNumberFormat="1" applyFill="1" applyBorder="1" applyAlignment="1">
      <alignment horizontal="left"/>
    </xf>
    <xf numFmtId="166" fontId="6" fillId="0" borderId="15" xfId="6" applyNumberFormat="1" applyBorder="1"/>
    <xf numFmtId="166" fontId="6" fillId="0" borderId="0" xfId="4" applyNumberFormat="1"/>
    <xf numFmtId="0" fontId="6" fillId="2" borderId="0" xfId="4" applyFill="1"/>
    <xf numFmtId="0" fontId="1" fillId="0" borderId="0" xfId="4" applyFont="1" applyAlignment="1">
      <alignment horizontal="right"/>
    </xf>
    <xf numFmtId="164" fontId="6" fillId="5" borderId="15" xfId="6" applyNumberFormat="1" applyFont="1" applyFill="1" applyBorder="1"/>
    <xf numFmtId="0" fontId="1" fillId="6" borderId="15" xfId="4" applyFont="1" applyFill="1" applyBorder="1"/>
    <xf numFmtId="164" fontId="6" fillId="0" borderId="15" xfId="6" applyFont="1" applyFill="1" applyBorder="1"/>
    <xf numFmtId="168" fontId="10" fillId="0" borderId="0" xfId="5" applyNumberFormat="1" applyBorder="1" applyAlignment="1">
      <alignment horizontal="left"/>
    </xf>
    <xf numFmtId="0" fontId="0" fillId="0" borderId="0" xfId="4" applyFont="1"/>
    <xf numFmtId="164" fontId="6" fillId="0" borderId="15" xfId="6" applyNumberFormat="1" applyBorder="1"/>
    <xf numFmtId="0" fontId="6" fillId="0" borderId="15" xfId="4" applyBorder="1"/>
    <xf numFmtId="164" fontId="6" fillId="0" borderId="15" xfId="6" applyNumberFormat="1" applyFill="1" applyBorder="1"/>
    <xf numFmtId="43" fontId="1" fillId="3" borderId="15" xfId="7" applyNumberFormat="1" applyFont="1" applyFill="1" applyBorder="1"/>
    <xf numFmtId="0" fontId="17" fillId="0" borderId="0" xfId="4" applyFont="1" applyAlignment="1">
      <alignment horizontal="right"/>
    </xf>
    <xf numFmtId="169" fontId="11" fillId="3" borderId="15" xfId="6" applyNumberFormat="1" applyFont="1" applyFill="1" applyBorder="1"/>
    <xf numFmtId="167" fontId="10" fillId="0" borderId="0" xfId="5" applyNumberFormat="1"/>
    <xf numFmtId="164" fontId="18" fillId="0" borderId="0" xfId="5" applyNumberFormat="1" applyFont="1"/>
    <xf numFmtId="166" fontId="0" fillId="0" borderId="0" xfId="4" applyNumberFormat="1" applyFont="1"/>
    <xf numFmtId="9" fontId="0" fillId="0" borderId="0" xfId="8" applyFont="1" applyAlignment="1">
      <alignment horizontal="left"/>
    </xf>
    <xf numFmtId="0" fontId="12" fillId="0" borderId="0" xfId="4" applyFont="1"/>
    <xf numFmtId="0" fontId="11" fillId="0" borderId="0" xfId="4" applyFont="1" applyAlignment="1">
      <alignment horizontal="right"/>
    </xf>
    <xf numFmtId="164" fontId="11" fillId="0" borderId="15" xfId="6" applyNumberFormat="1" applyFont="1" applyFill="1" applyBorder="1"/>
    <xf numFmtId="0" fontId="19" fillId="0" borderId="0" xfId="4" applyFont="1" applyAlignment="1">
      <alignment horizontal="right"/>
    </xf>
    <xf numFmtId="0" fontId="20" fillId="0" borderId="0" xfId="4" applyFont="1" applyAlignment="1">
      <alignment horizontal="right"/>
    </xf>
    <xf numFmtId="164" fontId="21" fillId="5" borderId="15" xfId="6" applyFont="1" applyFill="1" applyBorder="1"/>
    <xf numFmtId="164" fontId="6" fillId="5" borderId="15" xfId="6" applyNumberFormat="1" applyFill="1" applyBorder="1"/>
    <xf numFmtId="0" fontId="22" fillId="0" borderId="0" xfId="4" applyFont="1" applyAlignment="1">
      <alignment vertical="center"/>
    </xf>
    <xf numFmtId="0" fontId="2" fillId="0" borderId="0" xfId="4" applyFont="1" applyFill="1" applyBorder="1" applyAlignment="1">
      <alignment horizontal="right"/>
    </xf>
    <xf numFmtId="164" fontId="6" fillId="3" borderId="15" xfId="6" applyNumberFormat="1" applyFont="1" applyFill="1" applyBorder="1"/>
    <xf numFmtId="0" fontId="10" fillId="4" borderId="0" xfId="5" applyNumberFormat="1" applyFill="1" applyBorder="1"/>
    <xf numFmtId="166" fontId="6" fillId="4" borderId="0" xfId="4" applyNumberFormat="1" applyFill="1" applyBorder="1"/>
    <xf numFmtId="170" fontId="2" fillId="3" borderId="15" xfId="9" applyNumberFormat="1" applyFont="1" applyFill="1" applyBorder="1"/>
    <xf numFmtId="0" fontId="1" fillId="0" borderId="0" xfId="4" applyFont="1" applyAlignment="1">
      <alignment vertical="top"/>
    </xf>
    <xf numFmtId="0" fontId="23" fillId="0" borderId="0" xfId="4" applyFont="1" applyAlignment="1">
      <alignment horizontal="center" vertical="center"/>
    </xf>
    <xf numFmtId="0" fontId="10" fillId="0" borderId="0" xfId="5" applyNumberFormat="1"/>
    <xf numFmtId="166" fontId="6" fillId="0" borderId="0" xfId="4" applyNumberFormat="1" applyBorder="1"/>
    <xf numFmtId="0" fontId="24" fillId="0" borderId="16" xfId="4" applyFont="1" applyBorder="1" applyAlignment="1">
      <alignment vertical="center"/>
    </xf>
    <xf numFmtId="0" fontId="24" fillId="0" borderId="17" xfId="4" applyFont="1" applyBorder="1" applyAlignment="1">
      <alignment vertical="center"/>
    </xf>
    <xf numFmtId="0" fontId="24" fillId="0" borderId="19" xfId="4" applyFont="1" applyBorder="1" applyAlignment="1">
      <alignment vertical="center"/>
    </xf>
    <xf numFmtId="0" fontId="25" fillId="0" borderId="20" xfId="4" applyFont="1" applyBorder="1" applyAlignment="1">
      <alignment vertical="center"/>
    </xf>
    <xf numFmtId="0" fontId="26" fillId="0" borderId="20" xfId="4" applyFont="1" applyBorder="1" applyAlignment="1">
      <alignment vertical="center"/>
    </xf>
    <xf numFmtId="0" fontId="24" fillId="0" borderId="0" xfId="4" applyFont="1" applyAlignment="1">
      <alignment horizontal="center"/>
    </xf>
    <xf numFmtId="0" fontId="27" fillId="0" borderId="16" xfId="4" applyFont="1" applyBorder="1" applyAlignment="1">
      <alignment vertical="center" wrapText="1"/>
    </xf>
    <xf numFmtId="0" fontId="27" fillId="0" borderId="2" xfId="4" applyFont="1" applyBorder="1" applyAlignment="1">
      <alignment vertical="center" wrapText="1"/>
    </xf>
    <xf numFmtId="0" fontId="27" fillId="0" borderId="17" xfId="4" applyFont="1" applyBorder="1" applyAlignment="1">
      <alignment vertical="center" wrapText="1"/>
    </xf>
    <xf numFmtId="0" fontId="27" fillId="0" borderId="21" xfId="4" applyFont="1" applyBorder="1" applyAlignment="1">
      <alignment vertical="center" wrapText="1"/>
    </xf>
    <xf numFmtId="0" fontId="27" fillId="0" borderId="0" xfId="4" applyFont="1" applyBorder="1" applyAlignment="1">
      <alignment vertical="center" wrapText="1"/>
    </xf>
    <xf numFmtId="0" fontId="27" fillId="0" borderId="22" xfId="4" applyFont="1" applyBorder="1" applyAlignment="1">
      <alignment vertical="center" wrapText="1"/>
    </xf>
    <xf numFmtId="0" fontId="27" fillId="0" borderId="19" xfId="4" applyFont="1" applyBorder="1" applyAlignment="1">
      <alignment vertical="center" wrapText="1"/>
    </xf>
    <xf numFmtId="0" fontId="27" fillId="0" borderId="1" xfId="4" applyFont="1" applyBorder="1" applyAlignment="1">
      <alignment vertical="center" wrapText="1"/>
    </xf>
    <xf numFmtId="0" fontId="27" fillId="0" borderId="20" xfId="4" applyFont="1" applyBorder="1" applyAlignment="1">
      <alignment vertical="center" wrapText="1"/>
    </xf>
    <xf numFmtId="0" fontId="7" fillId="0" borderId="0" xfId="10" applyFont="1" applyBorder="1"/>
    <xf numFmtId="0" fontId="30" fillId="0" borderId="0" xfId="10" applyFont="1" applyBorder="1" applyAlignment="1">
      <alignment horizontal="center"/>
    </xf>
    <xf numFmtId="0" fontId="31" fillId="0" borderId="0" xfId="10" applyFont="1" applyBorder="1" applyAlignment="1">
      <alignment horizontal="center"/>
    </xf>
    <xf numFmtId="0" fontId="28" fillId="0" borderId="0" xfId="10" applyFont="1" applyBorder="1"/>
    <xf numFmtId="0" fontId="28" fillId="0" borderId="0" xfId="10" applyFont="1" applyBorder="1" applyAlignment="1">
      <alignment horizontal="right"/>
    </xf>
    <xf numFmtId="0" fontId="32" fillId="0" borderId="0" xfId="5" applyFont="1" applyAlignment="1">
      <alignment horizontal="justify" vertical="center"/>
    </xf>
    <xf numFmtId="0" fontId="7" fillId="0" borderId="0" xfId="10" applyFont="1" applyBorder="1" applyAlignment="1">
      <alignment horizontal="left" vertical="top" wrapText="1"/>
    </xf>
    <xf numFmtId="0" fontId="33" fillId="0" borderId="0" xfId="10" applyFont="1" applyBorder="1" applyAlignment="1">
      <alignment horizontal="left" vertical="top" wrapText="1"/>
    </xf>
    <xf numFmtId="0" fontId="7" fillId="0" borderId="0" xfId="10" applyFont="1"/>
    <xf numFmtId="0" fontId="34" fillId="0" borderId="0" xfId="10" applyFont="1" applyBorder="1" applyAlignment="1">
      <alignment vertical="top" wrapText="1"/>
    </xf>
    <xf numFmtId="0" fontId="33" fillId="0" borderId="0" xfId="5" applyFont="1" applyBorder="1" applyAlignment="1">
      <alignment vertical="center" wrapText="1"/>
    </xf>
    <xf numFmtId="0" fontId="7" fillId="0" borderId="0" xfId="10" applyFont="1" applyBorder="1" applyAlignment="1">
      <alignment vertical="center"/>
    </xf>
    <xf numFmtId="14" fontId="35" fillId="7" borderId="0" xfId="10" applyNumberFormat="1" applyFont="1" applyFill="1" applyBorder="1" applyAlignment="1">
      <alignment horizontal="center" vertical="center" wrapText="1"/>
    </xf>
    <xf numFmtId="0" fontId="7" fillId="0" borderId="0" xfId="10" applyFont="1" applyAlignment="1">
      <alignment vertical="center"/>
    </xf>
    <xf numFmtId="0" fontId="34" fillId="0" borderId="0" xfId="10" applyFont="1" applyBorder="1" applyAlignment="1">
      <alignment horizontal="left" vertical="top" wrapText="1"/>
    </xf>
    <xf numFmtId="0" fontId="34" fillId="0" borderId="0" xfId="10" applyFont="1" applyFill="1" applyBorder="1" applyAlignment="1">
      <alignment horizontal="left" vertical="top" wrapText="1"/>
    </xf>
    <xf numFmtId="0" fontId="7" fillId="0" borderId="0" xfId="10" applyFont="1" applyBorder="1" applyAlignment="1">
      <alignment horizontal="right"/>
    </xf>
    <xf numFmtId="0" fontId="7" fillId="7" borderId="0" xfId="10" applyFont="1" applyFill="1" applyBorder="1" applyAlignment="1" applyProtection="1">
      <alignment horizontal="left"/>
      <protection locked="0"/>
    </xf>
    <xf numFmtId="0" fontId="7" fillId="0" borderId="0" xfId="10" applyFont="1" applyFill="1" applyBorder="1" applyAlignment="1" applyProtection="1">
      <alignment horizontal="left"/>
      <protection locked="0"/>
    </xf>
    <xf numFmtId="0" fontId="7" fillId="0" borderId="0" xfId="11" applyFont="1"/>
    <xf numFmtId="0" fontId="7" fillId="0" borderId="4" xfId="11" applyFont="1" applyBorder="1"/>
    <xf numFmtId="0" fontId="7" fillId="0" borderId="5" xfId="11" applyFont="1" applyBorder="1"/>
    <xf numFmtId="0" fontId="7" fillId="0" borderId="6" xfId="11" applyFont="1" applyBorder="1"/>
    <xf numFmtId="0" fontId="7" fillId="0" borderId="7" xfId="11" applyFont="1" applyBorder="1"/>
    <xf numFmtId="0" fontId="7" fillId="0" borderId="8" xfId="11" applyFont="1" applyBorder="1"/>
    <xf numFmtId="0" fontId="28" fillId="8" borderId="6" xfId="11" applyFont="1" applyFill="1" applyBorder="1" applyAlignment="1">
      <alignment horizontal="center" vertical="center" wrapText="1"/>
    </xf>
    <xf numFmtId="0" fontId="29" fillId="8" borderId="5" xfId="11" applyFont="1" applyFill="1" applyBorder="1" applyAlignment="1">
      <alignment vertical="center" wrapText="1"/>
    </xf>
    <xf numFmtId="0" fontId="29" fillId="8" borderId="0" xfId="11" applyFont="1" applyFill="1" applyBorder="1" applyAlignment="1">
      <alignment vertical="center" wrapText="1"/>
    </xf>
    <xf numFmtId="0" fontId="28" fillId="8" borderId="37" xfId="11" applyFont="1" applyFill="1" applyBorder="1" applyAlignment="1">
      <alignment horizontal="center" vertical="center" wrapText="1"/>
    </xf>
    <xf numFmtId="0" fontId="29" fillId="7" borderId="0" xfId="11" applyFont="1" applyFill="1" applyBorder="1" applyAlignment="1" applyProtection="1">
      <alignment horizontal="center" vertical="center" wrapText="1"/>
      <protection locked="0"/>
    </xf>
    <xf numFmtId="0" fontId="35" fillId="8" borderId="36" xfId="11" applyFont="1" applyFill="1" applyBorder="1" applyAlignment="1">
      <alignment vertical="center" wrapText="1"/>
    </xf>
    <xf numFmtId="15" fontId="28" fillId="7" borderId="38" xfId="11" applyNumberFormat="1" applyFont="1" applyFill="1" applyBorder="1" applyAlignment="1" applyProtection="1">
      <alignment horizontal="center" vertical="center" wrapText="1"/>
      <protection locked="0"/>
    </xf>
    <xf numFmtId="49" fontId="28" fillId="8" borderId="18" xfId="11" applyNumberFormat="1" applyFont="1" applyFill="1" applyBorder="1" applyAlignment="1">
      <alignment vertical="center" wrapText="1"/>
    </xf>
    <xf numFmtId="15" fontId="28" fillId="7" borderId="33" xfId="11" applyNumberFormat="1" applyFont="1" applyFill="1" applyBorder="1" applyAlignment="1" applyProtection="1">
      <alignment horizontal="center" vertical="center" wrapText="1"/>
      <protection locked="0"/>
    </xf>
    <xf numFmtId="0" fontId="28" fillId="8" borderId="42" xfId="11" applyFont="1" applyFill="1" applyBorder="1" applyAlignment="1">
      <alignment horizontal="center" vertical="center" wrapText="1"/>
    </xf>
    <xf numFmtId="0" fontId="29" fillId="8" borderId="10" xfId="11" applyFont="1" applyFill="1" applyBorder="1" applyAlignment="1">
      <alignment vertical="center" wrapText="1"/>
    </xf>
    <xf numFmtId="0" fontId="29" fillId="8" borderId="11" xfId="11" applyFont="1" applyFill="1" applyBorder="1" applyAlignment="1">
      <alignment vertical="center" wrapText="1"/>
    </xf>
    <xf numFmtId="0" fontId="28" fillId="8" borderId="46" xfId="11" applyFont="1" applyFill="1" applyBorder="1" applyAlignment="1">
      <alignment horizontal="center" vertical="center" wrapText="1"/>
    </xf>
    <xf numFmtId="0" fontId="28" fillId="8" borderId="43" xfId="11" applyFont="1" applyFill="1" applyBorder="1" applyAlignment="1">
      <alignment horizontal="center" vertical="center" wrapText="1"/>
    </xf>
    <xf numFmtId="0" fontId="28" fillId="8" borderId="47" xfId="11" applyFont="1" applyFill="1" applyBorder="1" applyAlignment="1">
      <alignment horizontal="center" vertical="center" wrapText="1"/>
    </xf>
    <xf numFmtId="0" fontId="28" fillId="8" borderId="40" xfId="11" applyFont="1" applyFill="1" applyBorder="1" applyAlignment="1">
      <alignment horizontal="center" vertical="center" wrapText="1"/>
    </xf>
    <xf numFmtId="0" fontId="28" fillId="8" borderId="41" xfId="11" applyFont="1" applyFill="1" applyBorder="1" applyAlignment="1">
      <alignment horizontal="center" vertical="center" wrapText="1"/>
    </xf>
    <xf numFmtId="0" fontId="28" fillId="8" borderId="39" xfId="11" applyFont="1" applyFill="1" applyBorder="1" applyAlignment="1">
      <alignment horizontal="center" vertical="center" wrapText="1"/>
    </xf>
    <xf numFmtId="169" fontId="7" fillId="0" borderId="23" xfId="12" applyNumberFormat="1" applyFont="1" applyFill="1" applyBorder="1" applyAlignment="1">
      <alignment vertical="center" wrapText="1"/>
    </xf>
    <xf numFmtId="169" fontId="7" fillId="0" borderId="24" xfId="12" applyNumberFormat="1" applyFont="1" applyFill="1" applyBorder="1" applyAlignment="1">
      <alignment horizontal="left" vertical="center" wrapText="1"/>
    </xf>
    <xf numFmtId="169" fontId="7" fillId="0" borderId="24" xfId="12" applyNumberFormat="1" applyFont="1" applyFill="1" applyBorder="1" applyAlignment="1">
      <alignment vertical="center" wrapText="1"/>
    </xf>
    <xf numFmtId="169" fontId="7" fillId="0" borderId="31" xfId="12" applyNumberFormat="1" applyFont="1" applyFill="1" applyBorder="1" applyAlignment="1">
      <alignment horizontal="center"/>
    </xf>
    <xf numFmtId="9" fontId="7" fillId="0" borderId="44" xfId="9" applyFont="1" applyFill="1" applyBorder="1" applyAlignment="1">
      <alignment horizontal="center"/>
    </xf>
    <xf numFmtId="2" fontId="7" fillId="0" borderId="24" xfId="12" applyNumberFormat="1" applyFont="1" applyFill="1" applyBorder="1" applyAlignment="1">
      <alignment horizontal="center" vertical="center" wrapText="1"/>
    </xf>
    <xf numFmtId="3" fontId="28" fillId="0" borderId="31" xfId="12" applyNumberFormat="1" applyFont="1" applyFill="1" applyBorder="1" applyAlignment="1">
      <alignment horizontal="right" vertical="center" indent="1"/>
    </xf>
    <xf numFmtId="169" fontId="7" fillId="0" borderId="23" xfId="12" applyNumberFormat="1" applyFont="1" applyFill="1" applyBorder="1" applyAlignment="1">
      <alignment horizontal="right" vertical="center" indent="1"/>
    </xf>
    <xf numFmtId="169" fontId="7" fillId="0" borderId="23" xfId="12" applyNumberFormat="1" applyFont="1" applyFill="1" applyBorder="1" applyAlignment="1">
      <alignment horizontal="center"/>
    </xf>
    <xf numFmtId="2" fontId="7" fillId="0" borderId="31" xfId="7" applyNumberFormat="1" applyFont="1" applyFill="1" applyBorder="1" applyAlignment="1">
      <alignment horizontal="right" vertical="center" indent="1"/>
    </xf>
    <xf numFmtId="169" fontId="7" fillId="0" borderId="48" xfId="12" applyNumberFormat="1" applyFont="1" applyFill="1" applyBorder="1" applyAlignment="1">
      <alignment vertical="center" wrapText="1"/>
    </xf>
    <xf numFmtId="169" fontId="7" fillId="0" borderId="49" xfId="12" applyNumberFormat="1" applyFont="1" applyFill="1" applyBorder="1" applyAlignment="1">
      <alignment vertical="center" wrapText="1"/>
    </xf>
    <xf numFmtId="169" fontId="7" fillId="0" borderId="50" xfId="12" applyNumberFormat="1" applyFont="1" applyFill="1" applyBorder="1" applyAlignment="1">
      <alignment horizontal="center"/>
    </xf>
    <xf numFmtId="9" fontId="7" fillId="0" borderId="34" xfId="9" applyFont="1" applyFill="1" applyBorder="1" applyAlignment="1">
      <alignment horizontal="center"/>
    </xf>
    <xf numFmtId="2" fontId="7" fillId="0" borderId="49" xfId="12" applyNumberFormat="1" applyFont="1" applyFill="1" applyBorder="1" applyAlignment="1">
      <alignment horizontal="center" vertical="center" wrapText="1"/>
    </xf>
    <xf numFmtId="3" fontId="28" fillId="0" borderId="50" xfId="12" applyNumberFormat="1" applyFont="1" applyFill="1" applyBorder="1" applyAlignment="1">
      <alignment horizontal="right" vertical="center" indent="1"/>
    </xf>
    <xf numFmtId="169" fontId="7" fillId="0" borderId="48" xfId="12" applyNumberFormat="1" applyFont="1" applyFill="1" applyBorder="1" applyAlignment="1">
      <alignment horizontal="right" vertical="center" indent="1"/>
    </xf>
    <xf numFmtId="169" fontId="7" fillId="0" borderId="32" xfId="12" applyNumberFormat="1" applyFont="1" applyFill="1" applyBorder="1" applyAlignment="1">
      <alignment horizontal="center"/>
    </xf>
    <xf numFmtId="41" fontId="7" fillId="0" borderId="33" xfId="7" applyFont="1" applyFill="1" applyBorder="1" applyAlignment="1">
      <alignment horizontal="right" vertical="center" indent="1"/>
    </xf>
    <xf numFmtId="0" fontId="37" fillId="0" borderId="7" xfId="11" applyFont="1" applyBorder="1"/>
    <xf numFmtId="169" fontId="7" fillId="0" borderId="32" xfId="12" applyNumberFormat="1" applyFont="1" applyFill="1" applyBorder="1" applyAlignment="1">
      <alignment horizontal="center" vertical="center" wrapText="1"/>
    </xf>
    <xf numFmtId="169" fontId="7" fillId="0" borderId="18" xfId="12" applyNumberFormat="1" applyFont="1" applyFill="1" applyBorder="1" applyAlignment="1">
      <alignment vertical="center" wrapText="1"/>
    </xf>
    <xf numFmtId="169" fontId="7" fillId="0" borderId="33" xfId="12" applyNumberFormat="1" applyFont="1" applyFill="1" applyBorder="1" applyAlignment="1">
      <alignment horizontal="center"/>
    </xf>
    <xf numFmtId="169" fontId="7" fillId="0" borderId="32" xfId="12" applyNumberFormat="1" applyFont="1" applyFill="1" applyBorder="1" applyAlignment="1">
      <alignment horizontal="left" vertical="center" wrapText="1"/>
    </xf>
    <xf numFmtId="169" fontId="7" fillId="0" borderId="18" xfId="12" applyNumberFormat="1" applyFont="1" applyFill="1" applyBorder="1" applyAlignment="1">
      <alignment horizontal="center" vertical="center" wrapText="1"/>
    </xf>
    <xf numFmtId="171" fontId="7" fillId="0" borderId="32" xfId="8" applyNumberFormat="1" applyFont="1" applyFill="1" applyBorder="1" applyAlignment="1">
      <alignment horizontal="center"/>
    </xf>
    <xf numFmtId="169" fontId="7" fillId="0" borderId="18" xfId="12" applyNumberFormat="1" applyFont="1" applyFill="1" applyBorder="1" applyAlignment="1">
      <alignment horizontal="center"/>
    </xf>
    <xf numFmtId="0" fontId="7" fillId="0" borderId="8" xfId="11" applyFont="1" applyFill="1" applyBorder="1"/>
    <xf numFmtId="0" fontId="7" fillId="0" borderId="0" xfId="11" applyFont="1" applyFill="1"/>
    <xf numFmtId="169" fontId="7" fillId="0" borderId="48" xfId="12" applyNumberFormat="1" applyFont="1" applyFill="1" applyBorder="1" applyAlignment="1">
      <alignment horizontal="left" vertical="center" wrapText="1"/>
    </xf>
    <xf numFmtId="169" fontId="7" fillId="0" borderId="48" xfId="12" applyNumberFormat="1" applyFont="1" applyFill="1" applyBorder="1" applyAlignment="1">
      <alignment horizontal="center" vertical="center" wrapText="1"/>
    </xf>
    <xf numFmtId="169" fontId="7" fillId="0" borderId="50" xfId="12" applyNumberFormat="1" applyFont="1" applyFill="1" applyBorder="1" applyAlignment="1">
      <alignment horizontal="left" vertical="center" wrapText="1"/>
    </xf>
    <xf numFmtId="169" fontId="7" fillId="0" borderId="49" xfId="12" applyNumberFormat="1" applyFont="1" applyFill="1" applyBorder="1" applyAlignment="1">
      <alignment horizontal="left" vertical="center" wrapText="1"/>
    </xf>
    <xf numFmtId="169" fontId="7" fillId="0" borderId="49" xfId="12" applyNumberFormat="1" applyFont="1" applyFill="1" applyBorder="1" applyAlignment="1">
      <alignment horizontal="center" vertical="center" wrapText="1"/>
    </xf>
    <xf numFmtId="0" fontId="37" fillId="0" borderId="7" xfId="11" applyFont="1" applyFill="1" applyBorder="1"/>
    <xf numFmtId="169" fontId="7" fillId="0" borderId="39" xfId="12" applyNumberFormat="1" applyFont="1" applyFill="1" applyBorder="1" applyAlignment="1">
      <alignment horizontal="center"/>
    </xf>
    <xf numFmtId="41" fontId="7" fillId="0" borderId="40" xfId="7" applyFont="1" applyFill="1" applyBorder="1" applyAlignment="1">
      <alignment horizontal="right" vertical="center" indent="1"/>
    </xf>
    <xf numFmtId="0" fontId="28" fillId="9" borderId="51" xfId="11" applyFont="1" applyFill="1" applyBorder="1" applyAlignment="1">
      <alignment horizontal="center" vertical="center" wrapText="1"/>
    </xf>
    <xf numFmtId="0" fontId="38" fillId="9" borderId="53" xfId="11" applyFont="1" applyFill="1" applyBorder="1" applyAlignment="1">
      <alignment horizontal="center" vertical="center" wrapText="1"/>
    </xf>
    <xf numFmtId="0" fontId="38" fillId="9" borderId="54" xfId="11" applyFont="1" applyFill="1" applyBorder="1" applyAlignment="1">
      <alignment horizontal="center" vertical="center" wrapText="1"/>
    </xf>
    <xf numFmtId="4" fontId="28" fillId="9" borderId="55" xfId="11" applyNumberFormat="1" applyFont="1" applyFill="1" applyBorder="1" applyAlignment="1">
      <alignment horizontal="center" vertical="center" wrapText="1"/>
    </xf>
    <xf numFmtId="169" fontId="28" fillId="9" borderId="52" xfId="12" applyNumberFormat="1" applyFont="1" applyFill="1" applyBorder="1" applyAlignment="1">
      <alignment horizontal="center" vertical="center" wrapText="1"/>
    </xf>
    <xf numFmtId="164" fontId="28" fillId="9" borderId="52" xfId="12" applyFont="1" applyFill="1" applyBorder="1" applyAlignment="1">
      <alignment horizontal="center" vertical="center" wrapText="1"/>
    </xf>
    <xf numFmtId="169" fontId="28" fillId="9" borderId="54" xfId="12" applyNumberFormat="1" applyFont="1" applyFill="1" applyBorder="1" applyAlignment="1">
      <alignment horizontal="center" vertical="center" wrapText="1"/>
    </xf>
    <xf numFmtId="169" fontId="28" fillId="9" borderId="56" xfId="12" applyNumberFormat="1" applyFont="1" applyFill="1" applyBorder="1" applyAlignment="1">
      <alignment horizontal="center" vertical="center" wrapText="1"/>
    </xf>
    <xf numFmtId="169" fontId="28" fillId="9" borderId="51" xfId="12" applyNumberFormat="1" applyFont="1" applyFill="1" applyBorder="1" applyAlignment="1">
      <alignment horizontal="right" vertical="center" wrapText="1" indent="1"/>
    </xf>
    <xf numFmtId="2" fontId="28" fillId="9" borderId="51" xfId="12" applyNumberFormat="1" applyFont="1" applyFill="1" applyBorder="1" applyAlignment="1">
      <alignment horizontal="right" vertical="center" wrapText="1" indent="1"/>
    </xf>
    <xf numFmtId="0" fontId="28" fillId="10" borderId="23" xfId="11" applyFont="1" applyFill="1" applyBorder="1" applyAlignment="1">
      <alignment horizontal="center" vertical="center" wrapText="1"/>
    </xf>
    <xf numFmtId="0" fontId="38" fillId="10" borderId="25" xfId="11" applyFont="1" applyFill="1" applyBorder="1" applyAlignment="1">
      <alignment horizontal="center" vertical="center" wrapText="1"/>
    </xf>
    <xf numFmtId="0" fontId="28" fillId="0" borderId="50" xfId="11" applyFont="1" applyBorder="1" applyAlignment="1">
      <alignment horizontal="left" vertical="center" wrapText="1"/>
    </xf>
    <xf numFmtId="169" fontId="7" fillId="0" borderId="24" xfId="11" applyNumberFormat="1" applyFont="1" applyBorder="1" applyAlignment="1">
      <alignment horizontal="center" vertical="center" wrapText="1"/>
    </xf>
    <xf numFmtId="164" fontId="28" fillId="0" borderId="24" xfId="12" applyFont="1" applyBorder="1" applyAlignment="1">
      <alignment horizontal="center" vertical="center" wrapText="1"/>
    </xf>
    <xf numFmtId="169" fontId="7" fillId="11" borderId="31" xfId="12" applyNumberFormat="1" applyFont="1" applyFill="1" applyBorder="1" applyAlignment="1">
      <alignment horizontal="center"/>
    </xf>
    <xf numFmtId="169" fontId="7" fillId="11" borderId="44" xfId="12" applyNumberFormat="1" applyFont="1" applyFill="1" applyBorder="1" applyAlignment="1">
      <alignment horizontal="center"/>
    </xf>
    <xf numFmtId="170" fontId="7" fillId="0" borderId="23" xfId="11" applyNumberFormat="1" applyFont="1" applyFill="1" applyBorder="1" applyAlignment="1" applyProtection="1">
      <alignment horizontal="center" vertical="center" wrapText="1"/>
      <protection locked="0"/>
    </xf>
    <xf numFmtId="167" fontId="10" fillId="0" borderId="31" xfId="5" applyNumberFormat="1" applyFill="1" applyBorder="1"/>
    <xf numFmtId="170" fontId="7" fillId="0" borderId="23" xfId="11" applyNumberFormat="1" applyFont="1" applyFill="1" applyBorder="1" applyAlignment="1">
      <alignment horizontal="center" vertical="center" wrapText="1"/>
    </xf>
    <xf numFmtId="0" fontId="28" fillId="10" borderId="48" xfId="11" applyFont="1" applyFill="1" applyBorder="1" applyAlignment="1">
      <alignment horizontal="center" vertical="center" wrapText="1"/>
    </xf>
    <xf numFmtId="0" fontId="38" fillId="10" borderId="19" xfId="11" applyFont="1" applyFill="1" applyBorder="1" applyAlignment="1">
      <alignment horizontal="center" vertical="center" wrapText="1"/>
    </xf>
    <xf numFmtId="169" fontId="7" fillId="0" borderId="49" xfId="11" applyNumberFormat="1" applyFont="1" applyBorder="1" applyAlignment="1">
      <alignment horizontal="center" vertical="center" wrapText="1"/>
    </xf>
    <xf numFmtId="164" fontId="28" fillId="0" borderId="49" xfId="12" applyFont="1" applyBorder="1" applyAlignment="1">
      <alignment horizontal="center" vertical="center" wrapText="1"/>
    </xf>
    <xf numFmtId="169" fontId="7" fillId="11" borderId="50" xfId="12" applyNumberFormat="1" applyFont="1" applyFill="1" applyBorder="1" applyAlignment="1">
      <alignment horizontal="center"/>
    </xf>
    <xf numFmtId="169" fontId="7" fillId="11" borderId="34" xfId="12" applyNumberFormat="1" applyFont="1" applyFill="1" applyBorder="1" applyAlignment="1">
      <alignment horizontal="center"/>
    </xf>
    <xf numFmtId="170" fontId="7" fillId="0" borderId="48" xfId="11" applyNumberFormat="1" applyFont="1" applyFill="1" applyBorder="1" applyAlignment="1">
      <alignment horizontal="center" vertical="center" wrapText="1"/>
    </xf>
    <xf numFmtId="167" fontId="10" fillId="0" borderId="33" xfId="5" applyNumberFormat="1" applyFill="1" applyBorder="1"/>
    <xf numFmtId="0" fontId="28" fillId="12" borderId="48" xfId="11" applyFont="1" applyFill="1" applyBorder="1" applyAlignment="1">
      <alignment horizontal="center" vertical="center" wrapText="1"/>
    </xf>
    <xf numFmtId="0" fontId="38" fillId="12" borderId="19" xfId="11" applyFont="1" applyFill="1" applyBorder="1" applyAlignment="1">
      <alignment horizontal="center" vertical="center" wrapText="1"/>
    </xf>
    <xf numFmtId="0" fontId="28" fillId="12" borderId="50" xfId="11" applyFont="1" applyFill="1" applyBorder="1" applyAlignment="1">
      <alignment horizontal="left" vertical="center" wrapText="1"/>
    </xf>
    <xf numFmtId="169" fontId="7" fillId="12" borderId="49" xfId="11" applyNumberFormat="1" applyFont="1" applyFill="1" applyBorder="1" applyAlignment="1">
      <alignment horizontal="center" vertical="center" wrapText="1"/>
    </xf>
    <xf numFmtId="164" fontId="28" fillId="12" borderId="49" xfId="12" applyFont="1" applyFill="1" applyBorder="1" applyAlignment="1">
      <alignment horizontal="center" vertical="center" wrapText="1"/>
    </xf>
    <xf numFmtId="169" fontId="7" fillId="12" borderId="50" xfId="12" applyNumberFormat="1" applyFont="1" applyFill="1" applyBorder="1" applyAlignment="1">
      <alignment horizontal="center"/>
    </xf>
    <xf numFmtId="169" fontId="7" fillId="12" borderId="34" xfId="12" applyNumberFormat="1" applyFont="1" applyFill="1" applyBorder="1" applyAlignment="1">
      <alignment horizontal="center"/>
    </xf>
    <xf numFmtId="170" fontId="7" fillId="12" borderId="48" xfId="11" applyNumberFormat="1" applyFont="1" applyFill="1" applyBorder="1" applyAlignment="1">
      <alignment horizontal="center" vertical="center" wrapText="1"/>
    </xf>
    <xf numFmtId="167" fontId="10" fillId="12" borderId="33" xfId="5" applyNumberFormat="1" applyFill="1" applyBorder="1"/>
    <xf numFmtId="0" fontId="28" fillId="0" borderId="32" xfId="11" applyFont="1" applyBorder="1" applyAlignment="1">
      <alignment horizontal="center" vertical="center" wrapText="1"/>
    </xf>
    <xf numFmtId="0" fontId="28" fillId="0" borderId="38" xfId="11" applyFont="1" applyBorder="1" applyAlignment="1">
      <alignment horizontal="center" vertical="center" wrapText="1"/>
    </xf>
    <xf numFmtId="169" fontId="28" fillId="0" borderId="18" xfId="11" applyNumberFormat="1" applyFont="1" applyBorder="1" applyAlignment="1">
      <alignment horizontal="center" vertical="center" wrapText="1"/>
    </xf>
    <xf numFmtId="164" fontId="28" fillId="0" borderId="18" xfId="12" applyFont="1" applyBorder="1" applyAlignment="1">
      <alignment horizontal="center" vertical="center" wrapText="1"/>
    </xf>
    <xf numFmtId="169" fontId="7" fillId="11" borderId="33" xfId="12" applyNumberFormat="1" applyFont="1" applyFill="1" applyBorder="1" applyAlignment="1">
      <alignment horizontal="center"/>
    </xf>
    <xf numFmtId="169" fontId="7" fillId="11" borderId="36" xfId="12" applyNumberFormat="1" applyFont="1" applyFill="1" applyBorder="1" applyAlignment="1">
      <alignment horizontal="center"/>
    </xf>
    <xf numFmtId="170" fontId="7" fillId="0" borderId="32" xfId="11" applyNumberFormat="1" applyFont="1" applyFill="1" applyBorder="1" applyAlignment="1">
      <alignment horizontal="center" vertical="center" wrapText="1"/>
    </xf>
    <xf numFmtId="0" fontId="28" fillId="0" borderId="39" xfId="11" applyFont="1" applyBorder="1" applyAlignment="1">
      <alignment horizontal="center" vertical="center" wrapText="1"/>
    </xf>
    <xf numFmtId="0" fontId="28" fillId="0" borderId="57" xfId="11" applyFont="1" applyBorder="1" applyAlignment="1">
      <alignment horizontal="center" vertical="center" wrapText="1"/>
    </xf>
    <xf numFmtId="0" fontId="28" fillId="0" borderId="40" xfId="11" applyFont="1" applyBorder="1" applyAlignment="1">
      <alignment horizontal="center" vertical="center" wrapText="1"/>
    </xf>
    <xf numFmtId="9" fontId="28" fillId="13" borderId="43" xfId="11" applyNumberFormat="1" applyFont="1" applyFill="1" applyBorder="1" applyAlignment="1" applyProtection="1">
      <alignment horizontal="center" vertical="center" wrapText="1"/>
      <protection locked="0"/>
    </xf>
    <xf numFmtId="169" fontId="28" fillId="0" borderId="47" xfId="11" applyNumberFormat="1" applyFont="1" applyBorder="1" applyAlignment="1">
      <alignment horizontal="center" vertical="center" wrapText="1"/>
    </xf>
    <xf numFmtId="164" fontId="28" fillId="0" borderId="47" xfId="12" applyFont="1" applyBorder="1" applyAlignment="1">
      <alignment horizontal="center" vertical="center" wrapText="1"/>
    </xf>
    <xf numFmtId="164" fontId="28" fillId="0" borderId="40" xfId="12" applyNumberFormat="1" applyFont="1" applyBorder="1" applyAlignment="1">
      <alignment horizontal="center" vertical="center" wrapText="1"/>
    </xf>
    <xf numFmtId="41" fontId="7" fillId="0" borderId="42" xfId="7" applyFont="1" applyFill="1" applyBorder="1" applyAlignment="1">
      <alignment horizontal="right" vertical="center" wrapText="1" indent="1"/>
    </xf>
    <xf numFmtId="0" fontId="28" fillId="8" borderId="51" xfId="11" applyFont="1" applyFill="1" applyBorder="1" applyAlignment="1">
      <alignment horizontal="center" vertical="center" wrapText="1"/>
    </xf>
    <xf numFmtId="0" fontId="28" fillId="8" borderId="52" xfId="11" applyFont="1" applyFill="1" applyBorder="1" applyAlignment="1">
      <alignment horizontal="center" vertical="center" wrapText="1"/>
    </xf>
    <xf numFmtId="0" fontId="28" fillId="8" borderId="53" xfId="11" applyFont="1" applyFill="1" applyBorder="1" applyAlignment="1">
      <alignment horizontal="center" vertical="center" wrapText="1"/>
    </xf>
    <xf numFmtId="0" fontId="28" fillId="8" borderId="54" xfId="11" applyFont="1" applyFill="1" applyBorder="1" applyAlignment="1">
      <alignment horizontal="center" vertical="center" wrapText="1"/>
    </xf>
    <xf numFmtId="9" fontId="28" fillId="8" borderId="55" xfId="11" applyNumberFormat="1" applyFont="1" applyFill="1" applyBorder="1" applyAlignment="1">
      <alignment horizontal="center" vertical="center" wrapText="1"/>
    </xf>
    <xf numFmtId="169" fontId="28" fillId="8" borderId="52" xfId="11" applyNumberFormat="1" applyFont="1" applyFill="1" applyBorder="1" applyAlignment="1">
      <alignment horizontal="center" vertical="center" wrapText="1"/>
    </xf>
    <xf numFmtId="169" fontId="28" fillId="8" borderId="54" xfId="12" applyNumberFormat="1" applyFont="1" applyFill="1" applyBorder="1" applyAlignment="1">
      <alignment horizontal="center" vertical="center" wrapText="1"/>
    </xf>
    <xf numFmtId="0" fontId="28" fillId="8" borderId="7" xfId="11" applyFont="1" applyFill="1" applyBorder="1" applyAlignment="1">
      <alignment horizontal="center" vertical="center" wrapText="1"/>
    </xf>
    <xf numFmtId="0" fontId="28" fillId="8" borderId="0" xfId="11" applyFont="1" applyFill="1" applyBorder="1" applyAlignment="1">
      <alignment horizontal="center" vertical="center" wrapText="1"/>
    </xf>
    <xf numFmtId="0" fontId="28" fillId="8" borderId="60" xfId="11" applyFont="1" applyFill="1" applyBorder="1" applyAlignment="1">
      <alignment horizontal="right" vertical="center" wrapText="1"/>
    </xf>
    <xf numFmtId="3" fontId="28" fillId="7" borderId="61" xfId="11" applyNumberFormat="1" applyFont="1" applyFill="1" applyBorder="1" applyAlignment="1" applyProtection="1">
      <alignment vertical="center" wrapText="1"/>
      <protection locked="0"/>
    </xf>
    <xf numFmtId="9" fontId="28" fillId="8" borderId="7" xfId="11" applyNumberFormat="1" applyFont="1" applyFill="1" applyBorder="1" applyAlignment="1">
      <alignment horizontal="center" vertical="center" wrapText="1"/>
    </xf>
    <xf numFmtId="0" fontId="39" fillId="0" borderId="7" xfId="11" applyFont="1" applyBorder="1"/>
    <xf numFmtId="0" fontId="40" fillId="0" borderId="8" xfId="11" applyFont="1" applyBorder="1"/>
    <xf numFmtId="0" fontId="40" fillId="0" borderId="0" xfId="11" applyFont="1"/>
    <xf numFmtId="0" fontId="7" fillId="0" borderId="9" xfId="11" applyFont="1" applyBorder="1"/>
    <xf numFmtId="0" fontId="7" fillId="0" borderId="10" xfId="11" applyFont="1" applyBorder="1"/>
    <xf numFmtId="0" fontId="7" fillId="0" borderId="11" xfId="11" applyFont="1" applyBorder="1"/>
    <xf numFmtId="0" fontId="10" fillId="14" borderId="18" xfId="5" applyFill="1" applyBorder="1"/>
    <xf numFmtId="0" fontId="10" fillId="0" borderId="18" xfId="5" applyFill="1" applyBorder="1" applyAlignment="1">
      <alignment horizontal="left"/>
    </xf>
    <xf numFmtId="49" fontId="10" fillId="15" borderId="18" xfId="5" applyNumberFormat="1" applyFill="1" applyBorder="1" applyAlignment="1">
      <alignment vertical="center" wrapText="1"/>
    </xf>
    <xf numFmtId="0" fontId="10" fillId="0" borderId="0" xfId="5" applyAlignment="1">
      <alignment horizontal="right"/>
    </xf>
    <xf numFmtId="0" fontId="10" fillId="0" borderId="0" xfId="5" applyAlignment="1">
      <alignment horizontal="left"/>
    </xf>
    <xf numFmtId="0" fontId="28" fillId="16" borderId="18" xfId="13" applyFont="1" applyFill="1" applyBorder="1" applyAlignment="1">
      <alignment horizontal="center" vertical="center"/>
    </xf>
    <xf numFmtId="0" fontId="28" fillId="16" borderId="18" xfId="13" applyFont="1" applyFill="1" applyBorder="1" applyAlignment="1">
      <alignment horizontal="left" vertical="center"/>
    </xf>
    <xf numFmtId="0" fontId="28" fillId="0" borderId="3" xfId="13" applyFont="1" applyFill="1" applyBorder="1" applyAlignment="1">
      <alignment horizontal="center" vertical="center"/>
    </xf>
    <xf numFmtId="0" fontId="28" fillId="0" borderId="38" xfId="13" applyFont="1" applyFill="1" applyBorder="1" applyAlignment="1">
      <alignment horizontal="center" vertical="center"/>
    </xf>
    <xf numFmtId="0" fontId="28" fillId="12" borderId="18" xfId="13" applyFont="1" applyFill="1" applyBorder="1" applyAlignment="1">
      <alignment horizontal="center" vertical="center"/>
    </xf>
    <xf numFmtId="0" fontId="28" fillId="0" borderId="0" xfId="13" applyFont="1" applyFill="1" applyBorder="1" applyAlignment="1">
      <alignment horizontal="center" vertical="center"/>
    </xf>
    <xf numFmtId="0" fontId="10" fillId="0" borderId="67" xfId="5" applyBorder="1" applyAlignment="1">
      <alignment horizontal="center" vertical="center"/>
    </xf>
    <xf numFmtId="0" fontId="10" fillId="0" borderId="68" xfId="5" applyBorder="1" applyAlignment="1">
      <alignment vertical="center"/>
    </xf>
    <xf numFmtId="0" fontId="10" fillId="0" borderId="69" xfId="5" applyBorder="1" applyAlignment="1">
      <alignment vertical="center"/>
    </xf>
    <xf numFmtId="49" fontId="10" fillId="15" borderId="70" xfId="5" applyNumberFormat="1" applyFill="1" applyBorder="1" applyAlignment="1">
      <alignment vertical="center" wrapText="1"/>
    </xf>
    <xf numFmtId="172" fontId="7" fillId="0" borderId="18" xfId="13" applyNumberFormat="1" applyFont="1" applyFill="1" applyBorder="1" applyAlignment="1">
      <alignment horizontal="right" vertical="center"/>
    </xf>
    <xf numFmtId="172" fontId="7" fillId="0" borderId="18" xfId="13" quotePrefix="1" applyNumberFormat="1" applyFont="1" applyFill="1" applyBorder="1" applyAlignment="1">
      <alignment horizontal="left" vertical="center"/>
    </xf>
    <xf numFmtId="172" fontId="7" fillId="0" borderId="13" xfId="13" quotePrefix="1" applyNumberFormat="1" applyFont="1" applyFill="1" applyBorder="1" applyAlignment="1">
      <alignment horizontal="left" vertical="center"/>
    </xf>
    <xf numFmtId="172" fontId="7" fillId="0" borderId="15" xfId="13" applyNumberFormat="1" applyFont="1" applyFill="1" applyBorder="1" applyAlignment="1">
      <alignment horizontal="right" vertical="center"/>
    </xf>
    <xf numFmtId="169" fontId="7" fillId="0" borderId="12" xfId="14" applyNumberFormat="1" applyFont="1" applyFill="1" applyBorder="1" applyAlignment="1">
      <alignment horizontal="right" vertical="center"/>
    </xf>
    <xf numFmtId="164" fontId="7" fillId="12" borderId="18" xfId="14" applyNumberFormat="1" applyFont="1" applyFill="1" applyBorder="1" applyAlignment="1">
      <alignment horizontal="right" vertical="center"/>
    </xf>
    <xf numFmtId="164" fontId="7" fillId="0" borderId="0" xfId="14" applyNumberFormat="1" applyFont="1" applyFill="1" applyBorder="1" applyAlignment="1">
      <alignment horizontal="right" vertical="center"/>
    </xf>
    <xf numFmtId="0" fontId="10" fillId="14" borderId="18" xfId="5" applyFill="1" applyBorder="1" applyAlignment="1">
      <alignment vertical="center"/>
    </xf>
    <xf numFmtId="0" fontId="10" fillId="7" borderId="18" xfId="5" applyFill="1" applyBorder="1" applyAlignment="1">
      <alignment horizontal="left"/>
    </xf>
    <xf numFmtId="164" fontId="7" fillId="0" borderId="71" xfId="14" applyNumberFormat="1" applyFont="1" applyFill="1" applyBorder="1" applyAlignment="1">
      <alignment horizontal="right" vertical="center"/>
    </xf>
    <xf numFmtId="0" fontId="10" fillId="12" borderId="68" xfId="5" applyFill="1" applyBorder="1" applyAlignment="1">
      <alignment vertical="center"/>
    </xf>
    <xf numFmtId="49" fontId="10" fillId="12" borderId="70" xfId="5" applyNumberFormat="1" applyFill="1" applyBorder="1" applyAlignment="1">
      <alignment vertical="center" wrapText="1"/>
    </xf>
    <xf numFmtId="0" fontId="10" fillId="0" borderId="18" xfId="5" applyBorder="1" applyAlignment="1">
      <alignment vertical="center"/>
    </xf>
    <xf numFmtId="0" fontId="10" fillId="17" borderId="18" xfId="5" applyNumberFormat="1" applyFill="1" applyBorder="1" applyAlignment="1">
      <alignment vertical="center" wrapText="1"/>
    </xf>
    <xf numFmtId="0" fontId="10" fillId="12" borderId="67" xfId="5" applyFill="1" applyBorder="1" applyAlignment="1">
      <alignment horizontal="center" vertical="center"/>
    </xf>
    <xf numFmtId="14" fontId="10" fillId="15" borderId="18" xfId="5" applyNumberFormat="1" applyFill="1" applyBorder="1" applyAlignment="1">
      <alignment horizontal="left" vertical="center" wrapText="1"/>
    </xf>
    <xf numFmtId="172" fontId="7" fillId="0" borderId="29" xfId="13" quotePrefix="1" applyNumberFormat="1" applyFont="1" applyFill="1" applyBorder="1" applyAlignment="1">
      <alignment horizontal="left" vertical="center"/>
    </xf>
    <xf numFmtId="0" fontId="2" fillId="0" borderId="56" xfId="5" applyFont="1" applyBorder="1" applyAlignment="1">
      <alignment horizontal="right"/>
    </xf>
    <xf numFmtId="0" fontId="2" fillId="0" borderId="61" xfId="5" applyFont="1" applyBorder="1" applyAlignment="1">
      <alignment horizontal="right"/>
    </xf>
    <xf numFmtId="0" fontId="10" fillId="0" borderId="0" xfId="5" applyFill="1"/>
    <xf numFmtId="49" fontId="10" fillId="14" borderId="18" xfId="5" applyNumberFormat="1" applyFill="1" applyBorder="1" applyAlignment="1">
      <alignment vertical="center" wrapText="1"/>
    </xf>
    <xf numFmtId="0" fontId="0" fillId="14" borderId="18" xfId="15" applyFont="1" applyFill="1" applyBorder="1"/>
    <xf numFmtId="0" fontId="10" fillId="17" borderId="18" xfId="5" applyNumberFormat="1" applyFill="1" applyBorder="1" applyAlignment="1">
      <alignment horizontal="left" vertical="center" wrapText="1"/>
    </xf>
    <xf numFmtId="0" fontId="10" fillId="7" borderId="0" xfId="5" applyFill="1"/>
    <xf numFmtId="166" fontId="10" fillId="15" borderId="18" xfId="5" applyNumberFormat="1" applyFill="1" applyBorder="1" applyAlignment="1">
      <alignment horizontal="left" vertical="center" wrapText="1"/>
    </xf>
    <xf numFmtId="0" fontId="10" fillId="17" borderId="72" xfId="5" applyNumberFormat="1" applyFill="1" applyBorder="1" applyAlignment="1">
      <alignment vertical="center" wrapText="1"/>
    </xf>
    <xf numFmtId="166" fontId="10" fillId="15" borderId="0" xfId="5" applyNumberFormat="1" applyFill="1" applyBorder="1" applyAlignment="1">
      <alignment horizontal="left" vertical="center" wrapText="1"/>
    </xf>
    <xf numFmtId="0" fontId="10" fillId="17" borderId="0" xfId="5" applyNumberFormat="1" applyFill="1" applyBorder="1" applyAlignment="1">
      <alignment vertical="center" wrapText="1"/>
    </xf>
    <xf numFmtId="0" fontId="10" fillId="14" borderId="18" xfId="5" applyFill="1" applyBorder="1" applyAlignment="1">
      <alignment horizontal="left"/>
    </xf>
    <xf numFmtId="0" fontId="10" fillId="0" borderId="0" xfId="5" applyBorder="1" applyAlignment="1">
      <alignment vertical="center"/>
    </xf>
    <xf numFmtId="49" fontId="10" fillId="15" borderId="0" xfId="5" applyNumberFormat="1" applyFill="1" applyBorder="1" applyAlignment="1">
      <alignment vertical="center" wrapText="1"/>
    </xf>
    <xf numFmtId="14" fontId="10" fillId="17" borderId="18" xfId="5" applyNumberFormat="1" applyFill="1" applyBorder="1" applyAlignment="1">
      <alignment horizontal="left" vertical="center" wrapText="1"/>
    </xf>
    <xf numFmtId="0" fontId="10" fillId="14" borderId="68" xfId="5" applyFill="1" applyBorder="1" applyAlignment="1">
      <alignment vertical="center"/>
    </xf>
    <xf numFmtId="49" fontId="10" fillId="14" borderId="70" xfId="5" applyNumberFormat="1" applyFill="1" applyBorder="1" applyAlignment="1">
      <alignment vertical="center" wrapText="1"/>
    </xf>
    <xf numFmtId="0" fontId="10" fillId="18" borderId="18" xfId="5" applyFill="1" applyBorder="1" applyAlignment="1">
      <alignment vertical="center"/>
    </xf>
    <xf numFmtId="49" fontId="42" fillId="15" borderId="18" xfId="16" applyNumberFormat="1" applyFill="1" applyBorder="1" applyAlignment="1">
      <alignment vertical="center" wrapText="1"/>
    </xf>
    <xf numFmtId="14" fontId="10" fillId="15" borderId="18" xfId="5" applyNumberFormat="1" applyFill="1" applyBorder="1" applyAlignment="1">
      <alignment horizontal="left" vertical="center"/>
    </xf>
    <xf numFmtId="0" fontId="10" fillId="18" borderId="18" xfId="5" applyFill="1" applyBorder="1" applyAlignment="1">
      <alignment vertical="center" wrapText="1"/>
    </xf>
    <xf numFmtId="0" fontId="10" fillId="0" borderId="73" xfId="5" applyFill="1" applyBorder="1" applyAlignment="1">
      <alignment vertical="center"/>
    </xf>
    <xf numFmtId="0" fontId="10" fillId="0" borderId="18" xfId="5" applyBorder="1" applyAlignment="1">
      <alignment vertical="center" wrapText="1"/>
    </xf>
    <xf numFmtId="0" fontId="10" fillId="15" borderId="72" xfId="5" applyNumberFormat="1" applyFill="1" applyBorder="1" applyAlignment="1">
      <alignment vertical="center" wrapText="1"/>
    </xf>
    <xf numFmtId="0" fontId="10" fillId="14" borderId="0" xfId="5" applyFill="1" applyAlignment="1">
      <alignment vertical="center"/>
    </xf>
    <xf numFmtId="49" fontId="10" fillId="0" borderId="0" xfId="5" applyNumberFormat="1" applyAlignment="1">
      <alignment vertical="center" wrapText="1"/>
    </xf>
    <xf numFmtId="0" fontId="10" fillId="14" borderId="0" xfId="5" applyFill="1" applyBorder="1" applyAlignment="1">
      <alignment vertical="center"/>
    </xf>
    <xf numFmtId="0" fontId="10" fillId="19" borderId="0" xfId="5" applyFill="1" applyBorder="1" applyAlignment="1">
      <alignment vertical="center"/>
    </xf>
    <xf numFmtId="169" fontId="7" fillId="0" borderId="48" xfId="12" applyNumberFormat="1" applyFont="1" applyFill="1" applyBorder="1" applyAlignment="1">
      <alignment horizontal="center"/>
    </xf>
    <xf numFmtId="2" fontId="7" fillId="0" borderId="50" xfId="7" applyNumberFormat="1" applyFont="1" applyFill="1" applyBorder="1" applyAlignment="1">
      <alignment horizontal="right" vertical="center" indent="1"/>
    </xf>
    <xf numFmtId="0" fontId="10" fillId="0" borderId="18" xfId="5" applyBorder="1" applyAlignment="1">
      <alignment horizontal="left"/>
    </xf>
    <xf numFmtId="0" fontId="10" fillId="0" borderId="18" xfId="5" applyBorder="1"/>
    <xf numFmtId="15" fontId="28" fillId="0" borderId="2" xfId="11" applyNumberFormat="1" applyFont="1" applyBorder="1" applyAlignment="1">
      <alignment horizontal="center" vertical="center" wrapText="1"/>
    </xf>
    <xf numFmtId="15" fontId="28" fillId="0" borderId="0" xfId="11" applyNumberFormat="1" applyFont="1" applyBorder="1" applyAlignment="1">
      <alignment horizontal="center" vertical="center" wrapText="1"/>
    </xf>
    <xf numFmtId="0" fontId="28" fillId="9" borderId="0" xfId="11" applyFont="1" applyFill="1" applyBorder="1" applyAlignment="1">
      <alignment horizontal="center" vertical="center" wrapText="1"/>
    </xf>
    <xf numFmtId="0" fontId="28" fillId="0" borderId="2" xfId="11" applyFont="1" applyBorder="1" applyAlignment="1">
      <alignment horizontal="center" vertical="center" wrapText="1"/>
    </xf>
    <xf numFmtId="0" fontId="28" fillId="0" borderId="0" xfId="11" applyFont="1" applyBorder="1" applyAlignment="1">
      <alignment horizontal="center" vertical="center" wrapText="1"/>
    </xf>
    <xf numFmtId="0" fontId="7" fillId="0" borderId="0" xfId="11" applyFont="1" applyBorder="1" applyAlignment="1">
      <alignment horizontal="center" vertical="center" wrapText="1"/>
    </xf>
    <xf numFmtId="15" fontId="28" fillId="0" borderId="1" xfId="11" applyNumberFormat="1" applyFont="1" applyBorder="1" applyAlignment="1">
      <alignment horizontal="center" vertical="center" wrapText="1"/>
    </xf>
    <xf numFmtId="0" fontId="7" fillId="0" borderId="1" xfId="11" applyFont="1" applyBorder="1" applyAlignment="1">
      <alignment horizontal="center" vertical="center" wrapText="1"/>
    </xf>
    <xf numFmtId="0" fontId="28" fillId="9" borderId="4" xfId="11" applyFont="1" applyFill="1" applyBorder="1" applyAlignment="1">
      <alignment horizontal="center" vertical="center" wrapText="1"/>
    </xf>
    <xf numFmtId="0" fontId="28" fillId="8" borderId="45" xfId="11" applyFont="1" applyFill="1" applyBorder="1" applyAlignment="1">
      <alignment horizontal="center" vertical="center" wrapText="1"/>
    </xf>
    <xf numFmtId="0" fontId="34" fillId="0" borderId="0" xfId="10" applyFont="1" applyBorder="1" applyAlignment="1">
      <alignment horizontal="left" vertical="top" wrapText="1"/>
    </xf>
    <xf numFmtId="0" fontId="28" fillId="8" borderId="36" xfId="11" applyFont="1" applyFill="1" applyBorder="1" applyAlignment="1">
      <alignment vertical="center" wrapText="1"/>
    </xf>
    <xf numFmtId="0" fontId="28" fillId="8" borderId="37" xfId="11" applyFont="1" applyFill="1" applyBorder="1" applyAlignment="1">
      <alignment vertical="center" wrapText="1"/>
    </xf>
    <xf numFmtId="0" fontId="28" fillId="8" borderId="4" xfId="11" applyFont="1" applyFill="1" applyBorder="1" applyAlignment="1">
      <alignment vertical="center" wrapText="1"/>
    </xf>
    <xf numFmtId="0" fontId="28" fillId="8" borderId="34" xfId="11" applyFont="1" applyFill="1" applyBorder="1" applyAlignment="1">
      <alignment vertical="center" wrapText="1"/>
    </xf>
    <xf numFmtId="0" fontId="28" fillId="8" borderId="35" xfId="11" applyFont="1" applyFill="1" applyBorder="1" applyAlignment="1">
      <alignment vertical="center" wrapText="1"/>
    </xf>
    <xf numFmtId="0" fontId="28" fillId="0" borderId="0" xfId="11" applyFont="1" applyBorder="1" applyAlignment="1">
      <alignment vertical="center"/>
    </xf>
    <xf numFmtId="0" fontId="28" fillId="9" borderId="7" xfId="11" applyFont="1" applyFill="1" applyBorder="1" applyAlignment="1">
      <alignment vertical="center" wrapText="1"/>
    </xf>
    <xf numFmtId="0" fontId="28" fillId="9" borderId="0" xfId="11" applyFont="1" applyFill="1" applyBorder="1" applyAlignment="1">
      <alignment vertical="center" wrapText="1"/>
    </xf>
    <xf numFmtId="0" fontId="28" fillId="9" borderId="34" xfId="11" applyFont="1" applyFill="1" applyBorder="1" applyAlignment="1">
      <alignment vertical="center" wrapText="1"/>
    </xf>
    <xf numFmtId="0" fontId="28" fillId="9" borderId="1" xfId="11" applyFont="1" applyFill="1" applyBorder="1" applyAlignment="1">
      <alignment vertical="center" wrapText="1"/>
    </xf>
    <xf numFmtId="0" fontId="28" fillId="0" borderId="1" xfId="11" applyFont="1" applyBorder="1" applyAlignment="1">
      <alignment vertical="center"/>
    </xf>
    <xf numFmtId="0" fontId="28" fillId="9" borderId="0" xfId="11" applyFont="1" applyFill="1" applyBorder="1" applyAlignment="1">
      <alignment vertical="center"/>
    </xf>
    <xf numFmtId="15" fontId="28" fillId="0" borderId="0" xfId="11" applyNumberFormat="1" applyFont="1" applyBorder="1" applyAlignment="1">
      <alignment vertical="center" wrapText="1"/>
    </xf>
    <xf numFmtId="15" fontId="28" fillId="0" borderId="1" xfId="11" applyNumberFormat="1" applyFont="1" applyBorder="1" applyAlignment="1">
      <alignment vertical="center" wrapText="1"/>
    </xf>
    <xf numFmtId="15" fontId="28" fillId="0" borderId="10" xfId="11" applyNumberFormat="1" applyFont="1" applyBorder="1" applyAlignment="1">
      <alignment vertical="center" wrapText="1"/>
    </xf>
    <xf numFmtId="0" fontId="28" fillId="9" borderId="64" xfId="11" applyFont="1" applyFill="1" applyBorder="1" applyAlignment="1">
      <alignment vertical="center" wrapText="1"/>
    </xf>
    <xf numFmtId="0" fontId="28" fillId="9" borderId="2" xfId="11" applyFont="1" applyFill="1" applyBorder="1" applyAlignment="1">
      <alignment vertical="center" wrapText="1"/>
    </xf>
    <xf numFmtId="0" fontId="28" fillId="0" borderId="0" xfId="11" applyFont="1" applyBorder="1" applyAlignment="1">
      <alignment vertical="center" wrapText="1"/>
    </xf>
    <xf numFmtId="0" fontId="28" fillId="0" borderId="1" xfId="11" applyFont="1" applyBorder="1" applyAlignment="1">
      <alignment vertical="center" wrapText="1"/>
    </xf>
    <xf numFmtId="0" fontId="7" fillId="0" borderId="2" xfId="11" applyFont="1" applyBorder="1" applyAlignment="1">
      <alignment vertical="center" wrapText="1"/>
    </xf>
    <xf numFmtId="0" fontId="7" fillId="0" borderId="0" xfId="11" applyFont="1" applyBorder="1" applyAlignment="1">
      <alignment vertical="center" wrapText="1"/>
    </xf>
    <xf numFmtId="0" fontId="7" fillId="0" borderId="1" xfId="11" applyFont="1" applyBorder="1" applyAlignment="1">
      <alignment vertical="center" wrapText="1"/>
    </xf>
    <xf numFmtId="0" fontId="7" fillId="0" borderId="10" xfId="11" applyFont="1" applyBorder="1" applyAlignment="1">
      <alignment vertical="center" wrapText="1"/>
    </xf>
    <xf numFmtId="15" fontId="28" fillId="0" borderId="0" xfId="11" applyNumberFormat="1" applyFont="1" applyBorder="1" applyAlignment="1">
      <alignment horizontal="left" vertical="center" wrapText="1"/>
    </xf>
    <xf numFmtId="0" fontId="28" fillId="9" borderId="9" xfId="11" applyFont="1" applyFill="1" applyBorder="1" applyAlignment="1">
      <alignment vertical="center" wrapText="1"/>
    </xf>
    <xf numFmtId="0" fontId="28" fillId="9" borderId="4" xfId="11" applyFont="1" applyFill="1" applyBorder="1" applyAlignment="1">
      <alignment vertical="center" wrapText="1"/>
    </xf>
    <xf numFmtId="0" fontId="28" fillId="9" borderId="5" xfId="11" applyFont="1" applyFill="1" applyBorder="1" applyAlignment="1">
      <alignment vertical="center" wrapText="1"/>
    </xf>
    <xf numFmtId="0" fontId="28" fillId="9" borderId="10" xfId="11" applyFont="1" applyFill="1" applyBorder="1" applyAlignment="1">
      <alignment vertical="center" wrapText="1"/>
    </xf>
    <xf numFmtId="0" fontId="28" fillId="0" borderId="10" xfId="11" applyFont="1" applyBorder="1" applyAlignment="1">
      <alignment vertical="center" wrapText="1"/>
    </xf>
    <xf numFmtId="0" fontId="7" fillId="0" borderId="1" xfId="11" applyFont="1" applyBorder="1"/>
    <xf numFmtId="0" fontId="28" fillId="9" borderId="74" xfId="11" applyFont="1" applyFill="1" applyBorder="1" applyAlignment="1">
      <alignment vertical="center" wrapText="1"/>
    </xf>
    <xf numFmtId="0" fontId="28" fillId="9" borderId="62" xfId="11" applyFont="1" applyFill="1" applyBorder="1" applyAlignment="1">
      <alignment vertical="center" wrapText="1"/>
    </xf>
    <xf numFmtId="0" fontId="28" fillId="9" borderId="59" xfId="11" applyFont="1" applyFill="1" applyBorder="1" applyAlignment="1">
      <alignment vertical="center" wrapText="1"/>
    </xf>
    <xf numFmtId="0" fontId="28" fillId="9" borderId="75" xfId="11" applyFont="1" applyFill="1" applyBorder="1" applyAlignment="1">
      <alignment horizontal="center" vertical="center" wrapText="1"/>
    </xf>
    <xf numFmtId="0" fontId="7" fillId="0" borderId="7" xfId="11" applyFont="1" applyBorder="1" applyAlignment="1">
      <alignment horizontal="center" vertical="center" wrapText="1"/>
    </xf>
    <xf numFmtId="0" fontId="7" fillId="0" borderId="34" xfId="11" applyFont="1" applyBorder="1" applyAlignment="1">
      <alignment horizontal="center" vertical="center" wrapText="1"/>
    </xf>
    <xf numFmtId="0" fontId="7" fillId="0" borderId="64" xfId="11" applyFont="1" applyBorder="1" applyAlignment="1">
      <alignment vertical="center" wrapText="1"/>
    </xf>
    <xf numFmtId="0" fontId="7" fillId="0" borderId="7" xfId="11" applyFont="1" applyBorder="1" applyAlignment="1">
      <alignment vertical="center" wrapText="1"/>
    </xf>
    <xf numFmtId="0" fontId="7" fillId="0" borderId="34" xfId="11" applyFont="1" applyBorder="1" applyAlignment="1">
      <alignment vertical="center" wrapText="1"/>
    </xf>
    <xf numFmtId="0" fontId="7" fillId="0" borderId="9" xfId="11" applyFont="1" applyBorder="1" applyAlignment="1">
      <alignment vertical="center" wrapText="1"/>
    </xf>
    <xf numFmtId="0" fontId="28" fillId="8" borderId="45" xfId="11" applyFont="1" applyFill="1" applyBorder="1" applyAlignment="1">
      <alignment vertical="center" wrapText="1"/>
    </xf>
    <xf numFmtId="49" fontId="28" fillId="0" borderId="25" xfId="12" applyNumberFormat="1" applyFont="1" applyFill="1" applyBorder="1" applyAlignment="1">
      <alignment horizontal="center" vertical="center" wrapText="1"/>
    </xf>
    <xf numFmtId="49" fontId="28" fillId="0" borderId="19" xfId="12" applyNumberFormat="1" applyFont="1" applyFill="1" applyBorder="1" applyAlignment="1">
      <alignment horizontal="center" vertical="center" wrapText="1"/>
    </xf>
    <xf numFmtId="49" fontId="7" fillId="0" borderId="19" xfId="12" applyNumberFormat="1" applyFont="1" applyFill="1" applyBorder="1" applyAlignment="1">
      <alignment horizontal="center" vertical="center" wrapText="1"/>
    </xf>
    <xf numFmtId="49" fontId="7" fillId="0" borderId="38" xfId="12" applyNumberFormat="1" applyFont="1" applyFill="1" applyBorder="1" applyAlignment="1">
      <alignment horizontal="center" vertical="center" wrapText="1"/>
    </xf>
    <xf numFmtId="169" fontId="7" fillId="0" borderId="38" xfId="12" applyNumberFormat="1" applyFont="1" applyFill="1" applyBorder="1" applyAlignment="1">
      <alignment horizontal="center" vertical="center" wrapText="1"/>
    </xf>
    <xf numFmtId="169" fontId="7" fillId="0" borderId="76" xfId="12" applyNumberFormat="1" applyFont="1" applyFill="1" applyBorder="1" applyAlignment="1">
      <alignment horizontal="left" vertical="center" wrapText="1"/>
    </xf>
    <xf numFmtId="169" fontId="7" fillId="0" borderId="20" xfId="12" applyNumberFormat="1" applyFont="1" applyFill="1" applyBorder="1" applyAlignment="1">
      <alignment horizontal="left" vertical="center" wrapText="1"/>
    </xf>
    <xf numFmtId="169" fontId="7" fillId="0" borderId="20" xfId="12" applyNumberFormat="1" applyFont="1" applyFill="1" applyBorder="1" applyAlignment="1">
      <alignment vertical="center" wrapText="1"/>
    </xf>
    <xf numFmtId="169" fontId="7" fillId="0" borderId="72" xfId="12" applyNumberFormat="1" applyFont="1" applyFill="1" applyBorder="1" applyAlignment="1">
      <alignment vertical="center" wrapText="1"/>
    </xf>
    <xf numFmtId="169" fontId="7" fillId="0" borderId="72" xfId="12" applyNumberFormat="1" applyFont="1" applyFill="1" applyBorder="1" applyAlignment="1">
      <alignment horizontal="center" vertical="center" wrapText="1"/>
    </xf>
    <xf numFmtId="169" fontId="7" fillId="0" borderId="20" xfId="12" applyNumberFormat="1" applyFont="1" applyFill="1" applyBorder="1" applyAlignment="1">
      <alignment horizontal="center" vertical="center" wrapText="1"/>
    </xf>
    <xf numFmtId="9" fontId="28" fillId="0" borderId="76" xfId="11" applyNumberFormat="1" applyFont="1" applyFill="1" applyBorder="1" applyAlignment="1" applyProtection="1">
      <alignment horizontal="center" vertical="center" wrapText="1"/>
      <protection locked="0"/>
    </xf>
    <xf numFmtId="9" fontId="28" fillId="0" borderId="20" xfId="11" applyNumberFormat="1" applyFont="1" applyFill="1" applyBorder="1" applyAlignment="1" applyProtection="1">
      <alignment horizontal="center" vertical="center" wrapText="1"/>
      <protection locked="0"/>
    </xf>
    <xf numFmtId="9" fontId="28" fillId="12" borderId="20" xfId="11" applyNumberFormat="1" applyFont="1" applyFill="1" applyBorder="1" applyAlignment="1" applyProtection="1">
      <alignment horizontal="center" vertical="center" wrapText="1"/>
      <protection locked="0"/>
    </xf>
    <xf numFmtId="9" fontId="28" fillId="0" borderId="72" xfId="11" applyNumberFormat="1" applyFont="1" applyFill="1" applyBorder="1" applyAlignment="1">
      <alignment horizontal="center" vertical="center" wrapText="1"/>
    </xf>
    <xf numFmtId="49" fontId="28" fillId="0" borderId="23" xfId="12" applyNumberFormat="1" applyFont="1" applyFill="1" applyBorder="1" applyAlignment="1">
      <alignment horizontal="center" vertical="center" wrapText="1"/>
    </xf>
    <xf numFmtId="169" fontId="28" fillId="0" borderId="31" xfId="12" applyNumberFormat="1" applyFont="1" applyFill="1" applyBorder="1" applyAlignment="1">
      <alignment vertical="center" wrapText="1"/>
    </xf>
    <xf numFmtId="49" fontId="28" fillId="0" borderId="48" xfId="12" applyNumberFormat="1" applyFont="1" applyFill="1" applyBorder="1" applyAlignment="1">
      <alignment horizontal="center" vertical="center" wrapText="1"/>
    </xf>
    <xf numFmtId="169" fontId="28" fillId="0" borderId="50" xfId="12" applyNumberFormat="1" applyFont="1" applyFill="1" applyBorder="1" applyAlignment="1">
      <alignment vertical="center" wrapText="1"/>
    </xf>
    <xf numFmtId="49" fontId="7" fillId="0" borderId="48" xfId="12" applyNumberFormat="1" applyFont="1" applyFill="1" applyBorder="1" applyAlignment="1">
      <alignment horizontal="center" vertical="center" wrapText="1"/>
    </xf>
    <xf numFmtId="169" fontId="7" fillId="0" borderId="50" xfId="12" applyNumberFormat="1" applyFont="1" applyFill="1" applyBorder="1" applyAlignment="1">
      <alignment vertical="center" wrapText="1"/>
    </xf>
    <xf numFmtId="49" fontId="7" fillId="0" borderId="32" xfId="12" applyNumberFormat="1" applyFont="1" applyFill="1" applyBorder="1" applyAlignment="1">
      <alignment horizontal="center" vertical="center" wrapText="1"/>
    </xf>
    <xf numFmtId="169" fontId="7" fillId="0" borderId="33" xfId="12" applyNumberFormat="1" applyFont="1" applyFill="1" applyBorder="1" applyAlignment="1">
      <alignment vertical="center" wrapText="1"/>
    </xf>
    <xf numFmtId="169" fontId="7" fillId="0" borderId="74" xfId="12" applyNumberFormat="1" applyFont="1" applyFill="1" applyBorder="1" applyAlignment="1">
      <alignment horizontal="left" vertical="center" wrapText="1"/>
    </xf>
    <xf numFmtId="0" fontId="38" fillId="9" borderId="56" xfId="11" applyFont="1" applyFill="1" applyBorder="1" applyAlignment="1">
      <alignment horizontal="center" vertical="center" wrapText="1"/>
    </xf>
    <xf numFmtId="0" fontId="38" fillId="10" borderId="44" xfId="11" applyFont="1" applyFill="1" applyBorder="1" applyAlignment="1">
      <alignment horizontal="center" vertical="center" wrapText="1"/>
    </xf>
    <xf numFmtId="0" fontId="38" fillId="10" borderId="34" xfId="11" applyFont="1" applyFill="1" applyBorder="1" applyAlignment="1">
      <alignment horizontal="center" vertical="center" wrapText="1"/>
    </xf>
    <xf numFmtId="0" fontId="38" fillId="12" borderId="34" xfId="11" applyFont="1" applyFill="1" applyBorder="1" applyAlignment="1">
      <alignment horizontal="center" vertical="center" wrapText="1"/>
    </xf>
    <xf numFmtId="0" fontId="28" fillId="0" borderId="36" xfId="11" applyFont="1" applyBorder="1" applyAlignment="1">
      <alignment horizontal="center" vertical="center" wrapText="1"/>
    </xf>
    <xf numFmtId="0" fontId="28" fillId="0" borderId="41" xfId="11" applyFont="1" applyBorder="1" applyAlignment="1">
      <alignment horizontal="center" vertical="center" wrapText="1"/>
    </xf>
    <xf numFmtId="0" fontId="28" fillId="8" borderId="56" xfId="11" applyFont="1" applyFill="1" applyBorder="1" applyAlignment="1">
      <alignment horizontal="center" vertical="center" wrapText="1"/>
    </xf>
    <xf numFmtId="0" fontId="28" fillId="9" borderId="1" xfId="11" applyFont="1" applyFill="1" applyBorder="1" applyAlignment="1">
      <alignment vertical="center"/>
    </xf>
    <xf numFmtId="0" fontId="28" fillId="9" borderId="5" xfId="11" applyFont="1" applyFill="1" applyBorder="1" applyAlignment="1">
      <alignment horizontal="center" vertical="center" wrapText="1"/>
    </xf>
    <xf numFmtId="0" fontId="28" fillId="8" borderId="0" xfId="11" applyFont="1" applyFill="1" applyBorder="1" applyAlignment="1">
      <alignment vertical="center" wrapText="1"/>
    </xf>
    <xf numFmtId="0" fontId="28" fillId="8" borderId="78" xfId="11" applyFont="1" applyFill="1" applyBorder="1" applyAlignment="1">
      <alignment horizontal="center" vertical="center" wrapText="1"/>
    </xf>
    <xf numFmtId="0" fontId="28" fillId="8" borderId="66" xfId="11" applyFont="1" applyFill="1" applyBorder="1" applyAlignment="1">
      <alignment horizontal="center" vertical="center" wrapText="1"/>
    </xf>
    <xf numFmtId="0" fontId="28" fillId="8" borderId="4" xfId="11" applyFont="1" applyFill="1" applyBorder="1" applyAlignment="1">
      <alignment horizontal="left" vertical="center" wrapText="1"/>
    </xf>
    <xf numFmtId="0" fontId="28" fillId="8" borderId="34" xfId="11" applyFont="1" applyFill="1" applyBorder="1" applyAlignment="1">
      <alignment horizontal="left" vertical="center" wrapText="1"/>
    </xf>
    <xf numFmtId="0" fontId="28" fillId="8" borderId="36" xfId="11" applyFont="1" applyFill="1" applyBorder="1" applyAlignment="1">
      <alignment horizontal="left" vertical="center" wrapText="1"/>
    </xf>
    <xf numFmtId="0" fontId="35" fillId="8" borderId="3" xfId="11" applyFont="1" applyFill="1" applyBorder="1" applyAlignment="1">
      <alignment vertical="center" wrapText="1"/>
    </xf>
    <xf numFmtId="15" fontId="28" fillId="7" borderId="5" xfId="11" applyNumberFormat="1" applyFont="1" applyFill="1" applyBorder="1" applyAlignment="1" applyProtection="1">
      <alignment vertical="center" wrapText="1"/>
      <protection locked="0"/>
    </xf>
    <xf numFmtId="15" fontId="28" fillId="7" borderId="6" xfId="11" applyNumberFormat="1" applyFont="1" applyFill="1" applyBorder="1" applyAlignment="1" applyProtection="1">
      <alignment vertical="center" wrapText="1"/>
      <protection locked="0"/>
    </xf>
    <xf numFmtId="0" fontId="35" fillId="8" borderId="44" xfId="11" applyFont="1" applyFill="1" applyBorder="1" applyAlignment="1">
      <alignment horizontal="left" vertical="center"/>
    </xf>
    <xf numFmtId="0" fontId="35" fillId="8" borderId="76" xfId="11" applyFont="1" applyFill="1" applyBorder="1" applyAlignment="1">
      <alignment vertical="center" wrapText="1"/>
    </xf>
    <xf numFmtId="0" fontId="35" fillId="8" borderId="41" xfId="11" applyFont="1" applyFill="1" applyBorder="1" applyAlignment="1">
      <alignment horizontal="left" vertical="center" wrapText="1" indent="1"/>
    </xf>
    <xf numFmtId="0" fontId="35" fillId="8" borderId="77" xfId="11" applyFont="1" applyFill="1" applyBorder="1" applyAlignment="1">
      <alignment horizontal="left" vertical="center" wrapText="1" indent="1"/>
    </xf>
    <xf numFmtId="0" fontId="28" fillId="8" borderId="46" xfId="11" applyFont="1" applyFill="1" applyBorder="1" applyAlignment="1">
      <alignment vertical="center" wrapText="1"/>
    </xf>
    <xf numFmtId="49" fontId="28" fillId="8" borderId="2" xfId="11" applyNumberFormat="1" applyFont="1" applyFill="1" applyBorder="1" applyAlignment="1">
      <alignment horizontal="center" vertical="center" wrapText="1"/>
    </xf>
    <xf numFmtId="49" fontId="28" fillId="8" borderId="65" xfId="11" applyNumberFormat="1" applyFont="1" applyFill="1" applyBorder="1" applyAlignment="1">
      <alignment horizontal="center" vertical="center" wrapText="1"/>
    </xf>
    <xf numFmtId="0" fontId="28" fillId="8" borderId="61" xfId="11" applyFont="1" applyFill="1" applyBorder="1" applyAlignment="1">
      <alignment vertical="center" wrapText="1"/>
    </xf>
    <xf numFmtId="0" fontId="28" fillId="8" borderId="6" xfId="11" applyFont="1" applyFill="1" applyBorder="1" applyAlignment="1">
      <alignment vertical="center" wrapText="1"/>
    </xf>
    <xf numFmtId="2" fontId="28" fillId="8" borderId="45" xfId="11" applyNumberFormat="1" applyFont="1" applyFill="1" applyBorder="1" applyAlignment="1">
      <alignment horizontal="center" vertical="center" wrapText="1"/>
    </xf>
    <xf numFmtId="2" fontId="28" fillId="8" borderId="4" xfId="11" applyNumberFormat="1" applyFont="1" applyFill="1" applyBorder="1" applyAlignment="1">
      <alignment horizontal="center" vertical="center" wrapText="1"/>
    </xf>
    <xf numFmtId="0" fontId="28" fillId="8" borderId="61" xfId="11" applyFont="1" applyFill="1" applyBorder="1" applyAlignment="1">
      <alignment horizontal="center" vertical="center"/>
    </xf>
    <xf numFmtId="0" fontId="28" fillId="8" borderId="58" xfId="11" applyFont="1" applyFill="1" applyBorder="1" applyAlignment="1">
      <alignment horizontal="left" vertical="center"/>
    </xf>
    <xf numFmtId="0" fontId="35" fillId="8" borderId="7" xfId="11" applyFont="1" applyFill="1" applyBorder="1" applyAlignment="1">
      <alignment horizontal="center" vertical="center"/>
    </xf>
    <xf numFmtId="0" fontId="35" fillId="8" borderId="0" xfId="11" applyFont="1" applyFill="1" applyBorder="1" applyAlignment="1">
      <alignment horizontal="center" vertical="center"/>
    </xf>
    <xf numFmtId="0" fontId="28" fillId="8" borderId="56" xfId="11" applyFont="1" applyFill="1" applyBorder="1" applyAlignment="1">
      <alignment vertical="center"/>
    </xf>
    <xf numFmtId="0" fontId="30" fillId="8" borderId="56" xfId="11" applyFont="1" applyFill="1" applyBorder="1" applyAlignment="1">
      <alignment vertical="center" wrapText="1"/>
    </xf>
    <xf numFmtId="0" fontId="30" fillId="8" borderId="58" xfId="11" applyFont="1" applyFill="1" applyBorder="1" applyAlignment="1">
      <alignment vertical="center" wrapText="1"/>
    </xf>
    <xf numFmtId="41" fontId="28" fillId="8" borderId="11" xfId="7" applyFont="1" applyFill="1" applyBorder="1" applyAlignment="1">
      <alignment horizontal="right" vertical="center" indent="1"/>
    </xf>
    <xf numFmtId="170" fontId="7" fillId="0" borderId="28" xfId="11" applyNumberFormat="1" applyFont="1" applyFill="1" applyBorder="1" applyAlignment="1">
      <alignment horizontal="center" vertical="center" wrapText="1"/>
    </xf>
    <xf numFmtId="41" fontId="28" fillId="0" borderId="30" xfId="7" applyFont="1" applyFill="1" applyBorder="1" applyAlignment="1">
      <alignment horizontal="right" vertical="center" wrapText="1" indent="1"/>
    </xf>
    <xf numFmtId="0" fontId="28" fillId="0" borderId="30" xfId="12" applyNumberFormat="1" applyFont="1" applyFill="1" applyBorder="1" applyAlignment="1">
      <alignment horizontal="right" vertical="center" wrapText="1" indent="1"/>
    </xf>
    <xf numFmtId="0" fontId="30" fillId="8" borderId="0" xfId="11" applyFont="1" applyFill="1" applyBorder="1" applyAlignment="1">
      <alignment horizontal="center" vertical="center" wrapText="1"/>
    </xf>
    <xf numFmtId="0" fontId="30" fillId="8" borderId="58" xfId="11" applyFont="1" applyFill="1" applyBorder="1" applyAlignment="1">
      <alignment vertical="center"/>
    </xf>
    <xf numFmtId="0" fontId="30" fillId="8" borderId="61" xfId="11" applyFont="1" applyFill="1" applyBorder="1" applyAlignment="1">
      <alignment vertical="center" wrapText="1"/>
    </xf>
    <xf numFmtId="164" fontId="28" fillId="0" borderId="64" xfId="12" applyNumberFormat="1" applyFont="1" applyBorder="1" applyAlignment="1">
      <alignment horizontal="center" vertical="center" wrapText="1"/>
    </xf>
    <xf numFmtId="169" fontId="28" fillId="8" borderId="56" xfId="12" applyNumberFormat="1" applyFont="1" applyFill="1" applyBorder="1" applyAlignment="1">
      <alignment horizontal="center" vertical="center" wrapText="1"/>
    </xf>
    <xf numFmtId="0" fontId="30" fillId="8" borderId="61" xfId="11" applyFont="1" applyFill="1" applyBorder="1" applyAlignment="1">
      <alignment vertical="center"/>
    </xf>
    <xf numFmtId="0" fontId="30" fillId="8" borderId="56" xfId="11" applyFont="1" applyFill="1" applyBorder="1" applyAlignment="1">
      <alignment vertical="center"/>
    </xf>
    <xf numFmtId="0" fontId="28" fillId="8" borderId="7" xfId="11" applyFont="1" applyFill="1" applyBorder="1" applyAlignment="1">
      <alignment vertical="top" wrapText="1"/>
    </xf>
    <xf numFmtId="0" fontId="28" fillId="8" borderId="0" xfId="11" applyFont="1" applyFill="1" applyBorder="1" applyAlignment="1">
      <alignment vertical="top" wrapText="1"/>
    </xf>
    <xf numFmtId="0" fontId="28" fillId="8" borderId="8" xfId="11" applyFont="1" applyFill="1" applyBorder="1" applyAlignment="1">
      <alignment vertical="top" wrapText="1"/>
    </xf>
    <xf numFmtId="9" fontId="30" fillId="8" borderId="7" xfId="11" applyNumberFormat="1" applyFont="1" applyFill="1" applyBorder="1" applyAlignment="1">
      <alignment horizontal="center" vertical="center" wrapText="1"/>
    </xf>
    <xf numFmtId="169" fontId="30" fillId="8" borderId="0" xfId="11" applyNumberFormat="1" applyFont="1" applyFill="1" applyBorder="1" applyAlignment="1">
      <alignment horizontal="center" vertical="center" wrapText="1"/>
    </xf>
    <xf numFmtId="164" fontId="30" fillId="8" borderId="0" xfId="12" applyFont="1" applyFill="1" applyBorder="1" applyAlignment="1">
      <alignment horizontal="center" vertical="center" wrapText="1"/>
    </xf>
    <xf numFmtId="164" fontId="30" fillId="8" borderId="7" xfId="12" applyFont="1" applyFill="1" applyBorder="1" applyAlignment="1">
      <alignment horizontal="center" vertical="center" wrapText="1"/>
    </xf>
    <xf numFmtId="0" fontId="28" fillId="9" borderId="56" xfId="11" applyFont="1" applyFill="1" applyBorder="1" applyAlignment="1">
      <alignment vertical="center" wrapText="1"/>
    </xf>
    <xf numFmtId="0" fontId="28" fillId="9" borderId="58" xfId="11" applyFont="1" applyFill="1" applyBorder="1" applyAlignment="1">
      <alignment vertical="center" wrapText="1"/>
    </xf>
    <xf numFmtId="0" fontId="28" fillId="9" borderId="56" xfId="11" applyFont="1" applyFill="1" applyBorder="1" applyAlignment="1">
      <alignment vertical="center"/>
    </xf>
    <xf numFmtId="0" fontId="28" fillId="9" borderId="58" xfId="11" applyFont="1" applyFill="1" applyBorder="1" applyAlignment="1">
      <alignment vertical="center"/>
    </xf>
    <xf numFmtId="0" fontId="7" fillId="9" borderId="61" xfId="11" applyFont="1" applyFill="1" applyBorder="1" applyAlignment="1">
      <alignment vertical="center"/>
    </xf>
    <xf numFmtId="0" fontId="28" fillId="9" borderId="63" xfId="11" applyFont="1" applyFill="1" applyBorder="1" applyAlignment="1">
      <alignment vertical="center" wrapText="1"/>
    </xf>
    <xf numFmtId="0" fontId="28" fillId="9" borderId="62" xfId="11" applyFont="1" applyFill="1" applyBorder="1" applyAlignment="1">
      <alignment horizontal="center" vertical="center" wrapText="1"/>
    </xf>
    <xf numFmtId="0" fontId="28" fillId="9" borderId="35" xfId="11" applyFont="1" applyFill="1" applyBorder="1" applyAlignment="1">
      <alignment vertical="center" wrapText="1"/>
    </xf>
    <xf numFmtId="0" fontId="28" fillId="9" borderId="6" xfId="11" applyFont="1" applyFill="1" applyBorder="1" applyAlignment="1">
      <alignment vertical="center" wrapText="1"/>
    </xf>
    <xf numFmtId="0" fontId="28" fillId="0" borderId="7" xfId="11" applyFont="1" applyBorder="1" applyAlignment="1">
      <alignment vertical="center"/>
    </xf>
    <xf numFmtId="0" fontId="28" fillId="0" borderId="8" xfId="11" applyFont="1" applyBorder="1" applyAlignment="1">
      <alignment vertical="center"/>
    </xf>
    <xf numFmtId="0" fontId="28" fillId="0" borderId="34" xfId="11" applyFont="1" applyBorder="1" applyAlignment="1">
      <alignment vertical="center"/>
    </xf>
    <xf numFmtId="0" fontId="28" fillId="0" borderId="35" xfId="11" applyFont="1" applyBorder="1" applyAlignment="1">
      <alignment vertical="center"/>
    </xf>
    <xf numFmtId="0" fontId="28" fillId="0" borderId="64" xfId="11" applyFont="1" applyBorder="1" applyAlignment="1">
      <alignment horizontal="center" vertical="center" wrapText="1"/>
    </xf>
    <xf numFmtId="0" fontId="28" fillId="0" borderId="65" xfId="11" applyFont="1" applyBorder="1" applyAlignment="1">
      <alignment horizontal="center" vertical="center" wrapText="1"/>
    </xf>
    <xf numFmtId="0" fontId="28" fillId="0" borderId="7" xfId="11" applyFont="1" applyBorder="1" applyAlignment="1">
      <alignment horizontal="center" vertical="center" wrapText="1"/>
    </xf>
    <xf numFmtId="0" fontId="28" fillId="0" borderId="8" xfId="11" applyFont="1" applyBorder="1" applyAlignment="1">
      <alignment horizontal="center" vertical="center" wrapText="1"/>
    </xf>
    <xf numFmtId="0" fontId="28" fillId="0" borderId="34" xfId="11" applyFont="1" applyBorder="1" applyAlignment="1">
      <alignment horizontal="center" vertical="center" wrapText="1"/>
    </xf>
    <xf numFmtId="0" fontId="28" fillId="0" borderId="35" xfId="11" applyFont="1" applyBorder="1" applyAlignment="1">
      <alignment horizontal="center" vertical="center" wrapText="1"/>
    </xf>
    <xf numFmtId="0" fontId="28" fillId="0" borderId="7" xfId="11" applyFont="1" applyBorder="1" applyAlignment="1">
      <alignment vertical="center" wrapText="1"/>
    </xf>
    <xf numFmtId="0" fontId="28" fillId="0" borderId="8" xfId="11" applyFont="1" applyBorder="1" applyAlignment="1">
      <alignment vertical="center" wrapText="1"/>
    </xf>
    <xf numFmtId="0" fontId="28" fillId="0" borderId="9" xfId="11" applyFont="1" applyBorder="1" applyAlignment="1">
      <alignment vertical="center" wrapText="1"/>
    </xf>
    <xf numFmtId="0" fontId="28" fillId="0" borderId="11" xfId="11" applyFont="1" applyBorder="1" applyAlignment="1">
      <alignment vertical="center" wrapText="1"/>
    </xf>
    <xf numFmtId="0" fontId="28" fillId="0" borderId="56" xfId="11" applyFont="1" applyBorder="1" applyAlignment="1">
      <alignment vertical="center" wrapText="1"/>
    </xf>
    <xf numFmtId="0" fontId="7" fillId="0" borderId="53" xfId="11" applyFont="1" applyBorder="1" applyAlignment="1">
      <alignment vertical="center" wrapText="1"/>
    </xf>
    <xf numFmtId="0" fontId="7" fillId="0" borderId="58" xfId="11" applyFont="1" applyBorder="1" applyAlignment="1">
      <alignment horizontal="center" vertical="center" wrapText="1"/>
    </xf>
    <xf numFmtId="0" fontId="28" fillId="0" borderId="58" xfId="11" applyFont="1" applyBorder="1" applyAlignment="1">
      <alignment vertical="center" wrapText="1"/>
    </xf>
    <xf numFmtId="0" fontId="28" fillId="0" borderId="61" xfId="11" applyFont="1" applyBorder="1" applyAlignment="1">
      <alignment vertical="center" wrapText="1"/>
    </xf>
    <xf numFmtId="169" fontId="30" fillId="8" borderId="8" xfId="12" applyNumberFormat="1" applyFont="1" applyFill="1" applyBorder="1" applyAlignment="1">
      <alignment horizontal="right" vertical="center" indent="1"/>
    </xf>
    <xf numFmtId="0" fontId="28" fillId="0" borderId="1" xfId="11" applyFont="1" applyBorder="1" applyAlignment="1">
      <alignment horizontal="center" vertical="center"/>
    </xf>
    <xf numFmtId="0" fontId="28" fillId="8" borderId="19" xfId="11" applyFont="1" applyFill="1" applyBorder="1" applyAlignment="1">
      <alignment horizontal="center" vertical="center" wrapText="1"/>
    </xf>
    <xf numFmtId="164" fontId="28" fillId="7" borderId="9" xfId="12" applyFont="1" applyFill="1" applyBorder="1" applyAlignment="1" applyProtection="1">
      <alignment vertical="center" wrapText="1"/>
      <protection locked="0"/>
    </xf>
    <xf numFmtId="164" fontId="28" fillId="7" borderId="11" xfId="12" applyFont="1" applyFill="1" applyBorder="1" applyAlignment="1" applyProtection="1">
      <alignment vertical="center" wrapText="1"/>
      <protection locked="0"/>
    </xf>
    <xf numFmtId="169" fontId="28" fillId="8" borderId="1" xfId="12" applyNumberFormat="1" applyFont="1" applyFill="1" applyBorder="1" applyAlignment="1">
      <alignment horizontal="center" vertical="center" wrapText="1"/>
    </xf>
    <xf numFmtId="169" fontId="28" fillId="8" borderId="56" xfId="11" applyNumberFormat="1" applyFont="1" applyFill="1" applyBorder="1" applyAlignment="1">
      <alignment horizontal="center" vertical="center" wrapText="1"/>
    </xf>
    <xf numFmtId="0" fontId="28" fillId="8" borderId="58" xfId="11" applyFont="1" applyFill="1" applyBorder="1" applyAlignment="1">
      <alignment horizontal="center" vertical="center" wrapText="1"/>
    </xf>
    <xf numFmtId="169" fontId="28" fillId="8" borderId="53" xfId="12" applyNumberFormat="1" applyFont="1" applyFill="1" applyBorder="1" applyAlignment="1">
      <alignment horizontal="center" vertical="center" wrapText="1"/>
    </xf>
    <xf numFmtId="41" fontId="28" fillId="8" borderId="60" xfId="7" applyFont="1" applyFill="1" applyBorder="1" applyAlignment="1">
      <alignment horizontal="right" vertical="center" indent="1"/>
    </xf>
    <xf numFmtId="0" fontId="28" fillId="9" borderId="6" xfId="11" applyFont="1" applyFill="1" applyBorder="1" applyAlignment="1">
      <alignment horizontal="center" vertical="center" wrapText="1"/>
    </xf>
    <xf numFmtId="0" fontId="7" fillId="0" borderId="8" xfId="11" applyFont="1" applyBorder="1" applyAlignment="1">
      <alignment horizontal="center" vertical="center"/>
    </xf>
    <xf numFmtId="0" fontId="7" fillId="0" borderId="35" xfId="11" applyFont="1" applyBorder="1" applyAlignment="1">
      <alignment horizontal="center" vertical="center"/>
    </xf>
    <xf numFmtId="0" fontId="7" fillId="0" borderId="65" xfId="11" applyFont="1" applyBorder="1" applyAlignment="1">
      <alignment vertical="center"/>
    </xf>
    <xf numFmtId="0" fontId="7" fillId="0" borderId="35" xfId="11" applyFont="1" applyBorder="1" applyAlignment="1">
      <alignment vertical="center"/>
    </xf>
    <xf numFmtId="0" fontId="7" fillId="0" borderId="8" xfId="11" applyFont="1" applyBorder="1" applyAlignment="1">
      <alignment vertical="center"/>
    </xf>
    <xf numFmtId="0" fontId="7" fillId="0" borderId="8" xfId="11" applyFont="1" applyBorder="1" applyAlignment="1">
      <alignment vertical="center" wrapText="1"/>
    </xf>
    <xf numFmtId="0" fontId="7" fillId="0" borderId="11" xfId="11" applyFont="1" applyBorder="1" applyAlignment="1">
      <alignment vertical="center" wrapText="1"/>
    </xf>
    <xf numFmtId="0" fontId="7" fillId="0" borderId="8" xfId="11" applyFont="1" applyBorder="1" applyAlignment="1">
      <alignment horizontal="center" vertical="center" wrapText="1"/>
    </xf>
    <xf numFmtId="0" fontId="7" fillId="0" borderId="35" xfId="11" applyFont="1" applyBorder="1" applyAlignment="1">
      <alignment horizontal="center" vertical="center" wrapText="1"/>
    </xf>
    <xf numFmtId="0" fontId="7" fillId="0" borderId="65" xfId="11" applyFont="1" applyBorder="1" applyAlignment="1">
      <alignment vertical="center" wrapText="1"/>
    </xf>
    <xf numFmtId="0" fontId="7" fillId="0" borderId="35" xfId="11" applyFont="1" applyBorder="1" applyAlignment="1">
      <alignment vertical="center" wrapText="1"/>
    </xf>
    <xf numFmtId="0" fontId="28" fillId="8" borderId="41" xfId="11" applyFont="1" applyFill="1" applyBorder="1" applyAlignment="1">
      <alignment horizontal="left" vertical="center" wrapText="1"/>
    </xf>
    <xf numFmtId="0" fontId="28" fillId="8" borderId="42" xfId="11" applyFont="1" applyFill="1" applyBorder="1" applyAlignment="1">
      <alignment vertical="center" wrapText="1"/>
    </xf>
    <xf numFmtId="0" fontId="28" fillId="8" borderId="7" xfId="11" applyFont="1" applyFill="1" applyBorder="1" applyAlignment="1">
      <alignment vertical="center" wrapText="1"/>
    </xf>
    <xf numFmtId="0" fontId="28" fillId="8" borderId="8" xfId="11" applyFont="1" applyFill="1" applyBorder="1" applyAlignment="1">
      <alignment vertical="center" wrapText="1"/>
    </xf>
    <xf numFmtId="0" fontId="28" fillId="9" borderId="10" xfId="11" applyFont="1" applyFill="1" applyBorder="1" applyAlignment="1">
      <alignment vertical="center"/>
    </xf>
    <xf numFmtId="0" fontId="7" fillId="9" borderId="10" xfId="11" applyFont="1" applyFill="1" applyBorder="1" applyAlignment="1">
      <alignment vertical="center"/>
    </xf>
    <xf numFmtId="3" fontId="7" fillId="0" borderId="50" xfId="12" applyNumberFormat="1" applyFont="1" applyFill="1" applyBorder="1" applyAlignment="1">
      <alignment horizontal="right" vertical="center" indent="1"/>
    </xf>
    <xf numFmtId="3" fontId="28" fillId="8" borderId="60" xfId="12" applyNumberFormat="1" applyFont="1" applyFill="1" applyBorder="1" applyAlignment="1">
      <alignment vertical="center"/>
    </xf>
    <xf numFmtId="4" fontId="7" fillId="0" borderId="50" xfId="7" applyNumberFormat="1" applyFont="1" applyFill="1" applyBorder="1" applyAlignment="1">
      <alignment horizontal="right" vertical="center" indent="1"/>
    </xf>
    <xf numFmtId="0" fontId="24" fillId="0" borderId="16" xfId="4" applyFont="1" applyBorder="1" applyAlignment="1"/>
    <xf numFmtId="0" fontId="24" fillId="0" borderId="17" xfId="4" applyFont="1" applyBorder="1" applyAlignment="1"/>
    <xf numFmtId="0" fontId="24" fillId="0" borderId="19" xfId="4" applyFont="1" applyBorder="1" applyAlignment="1"/>
    <xf numFmtId="0" fontId="24" fillId="0" borderId="20" xfId="4" applyFont="1" applyBorder="1" applyAlignment="1"/>
    <xf numFmtId="0" fontId="24" fillId="0" borderId="22" xfId="4" applyFont="1" applyBorder="1" applyAlignment="1"/>
    <xf numFmtId="0" fontId="24" fillId="0" borderId="21" xfId="4" applyFont="1" applyBorder="1" applyAlignment="1">
      <alignment horizontal="right"/>
    </xf>
    <xf numFmtId="0" fontId="7" fillId="0" borderId="1" xfId="10" applyFont="1" applyBorder="1" applyAlignment="1">
      <alignment horizontal="left"/>
    </xf>
    <xf numFmtId="0" fontId="7" fillId="0" borderId="1" xfId="10" applyNumberFormat="1" applyFont="1" applyBorder="1" applyAlignment="1">
      <alignment horizontal="left"/>
    </xf>
    <xf numFmtId="0" fontId="24" fillId="0" borderId="1" xfId="4" applyFont="1" applyBorder="1" applyAlignment="1"/>
    <xf numFmtId="0" fontId="6" fillId="0" borderId="16" xfId="4" applyBorder="1" applyAlignment="1"/>
    <xf numFmtId="0" fontId="6" fillId="0" borderId="2" xfId="4" applyBorder="1" applyAlignment="1"/>
    <xf numFmtId="0" fontId="24" fillId="0" borderId="19" xfId="4" applyFont="1" applyBorder="1" applyAlignment="1">
      <alignment horizontal="right"/>
    </xf>
    <xf numFmtId="0" fontId="6" fillId="0" borderId="16" xfId="4" applyBorder="1" applyAlignment="1">
      <alignment horizontal="right"/>
    </xf>
    <xf numFmtId="0" fontId="7" fillId="0" borderId="1" xfId="10" applyNumberFormat="1" applyFont="1" applyBorder="1" applyAlignment="1"/>
    <xf numFmtId="0" fontId="7" fillId="0" borderId="1" xfId="10" applyFont="1" applyBorder="1" applyAlignment="1"/>
    <xf numFmtId="165" fontId="0" fillId="0" borderId="0" xfId="17" applyFont="1"/>
    <xf numFmtId="165" fontId="0" fillId="0" borderId="0" xfId="17" applyFont="1" applyBorder="1"/>
    <xf numFmtId="165" fontId="0" fillId="0" borderId="0" xfId="17" applyFont="1" applyBorder="1" applyAlignment="1">
      <alignment horizontal="center"/>
    </xf>
    <xf numFmtId="165" fontId="0" fillId="0" borderId="79" xfId="17" applyFont="1" applyBorder="1"/>
    <xf numFmtId="165" fontId="0" fillId="0" borderId="80" xfId="17" applyFont="1" applyBorder="1"/>
    <xf numFmtId="165" fontId="0" fillId="0" borderId="80" xfId="17" applyFont="1" applyBorder="1" applyAlignment="1">
      <alignment horizontal="center"/>
    </xf>
    <xf numFmtId="165" fontId="0" fillId="0" borderId="81" xfId="17" applyFont="1" applyBorder="1"/>
    <xf numFmtId="165" fontId="0" fillId="0" borderId="82" xfId="17" applyFont="1" applyBorder="1"/>
    <xf numFmtId="165" fontId="0" fillId="0" borderId="0" xfId="17" applyFont="1" applyBorder="1" applyAlignment="1">
      <alignment horizontal="left"/>
    </xf>
    <xf numFmtId="165" fontId="0" fillId="0" borderId="83" xfId="17" applyFont="1" applyBorder="1"/>
    <xf numFmtId="165" fontId="43" fillId="0" borderId="0" xfId="18" applyFont="1" applyBorder="1" applyAlignment="1">
      <alignment horizontal="left"/>
    </xf>
    <xf numFmtId="165" fontId="17" fillId="0" borderId="1" xfId="17" applyFont="1" applyBorder="1"/>
    <xf numFmtId="165" fontId="0" fillId="0" borderId="1" xfId="17" applyFont="1" applyBorder="1"/>
    <xf numFmtId="169" fontId="0" fillId="0" borderId="0" xfId="6" applyNumberFormat="1" applyFont="1"/>
    <xf numFmtId="165" fontId="44" fillId="0" borderId="3" xfId="17" applyFont="1" applyBorder="1"/>
    <xf numFmtId="165" fontId="0" fillId="0" borderId="3" xfId="17" applyFont="1" applyBorder="1"/>
    <xf numFmtId="3" fontId="0" fillId="0" borderId="0" xfId="17" applyNumberFormat="1" applyFont="1"/>
    <xf numFmtId="165" fontId="17" fillId="0" borderId="3" xfId="17" applyFont="1" applyBorder="1"/>
    <xf numFmtId="165" fontId="43" fillId="0" borderId="84" xfId="18" applyFont="1" applyBorder="1" applyAlignment="1">
      <alignment horizontal="center" vertical="center"/>
    </xf>
    <xf numFmtId="165" fontId="43" fillId="0" borderId="85" xfId="18" applyFont="1" applyBorder="1" applyAlignment="1">
      <alignment horizontal="center" vertical="center" wrapText="1"/>
    </xf>
    <xf numFmtId="3" fontId="43" fillId="0" borderId="85" xfId="18" applyNumberFormat="1" applyFont="1" applyBorder="1" applyAlignment="1">
      <alignment horizontal="center" vertical="center" wrapText="1"/>
    </xf>
    <xf numFmtId="3" fontId="43" fillId="0" borderId="86" xfId="18" applyNumberFormat="1" applyFont="1" applyBorder="1" applyAlignment="1">
      <alignment horizontal="center" vertical="center" wrapText="1"/>
    </xf>
    <xf numFmtId="3" fontId="43" fillId="0" borderId="87" xfId="18" applyNumberFormat="1" applyFont="1" applyBorder="1" applyAlignment="1">
      <alignment horizontal="center" vertical="center" wrapText="1"/>
    </xf>
    <xf numFmtId="165" fontId="0" fillId="0" borderId="0" xfId="17" applyFont="1" applyBorder="1" applyAlignment="1">
      <alignment horizontal="right"/>
    </xf>
    <xf numFmtId="4" fontId="0" fillId="0" borderId="0" xfId="17" applyNumberFormat="1" applyFont="1" applyFill="1" applyBorder="1" applyAlignment="1">
      <alignment horizontal="right"/>
    </xf>
    <xf numFmtId="4" fontId="0" fillId="0" borderId="0" xfId="17" applyNumberFormat="1" applyFont="1" applyBorder="1"/>
    <xf numFmtId="4" fontId="0" fillId="0" borderId="89" xfId="17" applyNumberFormat="1" applyFont="1" applyBorder="1"/>
    <xf numFmtId="4" fontId="0" fillId="0" borderId="0" xfId="17" applyNumberFormat="1" applyFont="1"/>
    <xf numFmtId="2" fontId="0" fillId="14" borderId="0" xfId="17" applyNumberFormat="1" applyFont="1" applyFill="1"/>
    <xf numFmtId="165" fontId="0" fillId="0" borderId="0" xfId="17" applyFont="1" applyFill="1" applyBorder="1" applyAlignment="1">
      <alignment horizontal="center"/>
    </xf>
    <xf numFmtId="165" fontId="43" fillId="20" borderId="91" xfId="18" applyFont="1" applyFill="1" applyBorder="1" applyAlignment="1">
      <alignment horizontal="left"/>
    </xf>
    <xf numFmtId="165" fontId="43" fillId="20" borderId="92" xfId="18" applyFont="1" applyFill="1" applyBorder="1" applyAlignment="1">
      <alignment horizontal="left"/>
    </xf>
    <xf numFmtId="3" fontId="43" fillId="20" borderId="92" xfId="18" applyNumberFormat="1" applyFont="1" applyFill="1" applyBorder="1"/>
    <xf numFmtId="3" fontId="43" fillId="20" borderId="92" xfId="18" applyNumberFormat="1" applyFont="1" applyFill="1" applyBorder="1" applyAlignment="1">
      <alignment horizontal="center"/>
    </xf>
    <xf numFmtId="4" fontId="43" fillId="20" borderId="92" xfId="18" applyNumberFormat="1" applyFont="1" applyFill="1" applyBorder="1"/>
    <xf numFmtId="4" fontId="11" fillId="20" borderId="93" xfId="18" applyNumberFormat="1" applyFont="1" applyFill="1" applyBorder="1"/>
    <xf numFmtId="3" fontId="43" fillId="20" borderId="94" xfId="18" applyNumberFormat="1" applyFont="1" applyFill="1" applyBorder="1"/>
    <xf numFmtId="165" fontId="0" fillId="0" borderId="95" xfId="17" applyFont="1" applyBorder="1"/>
    <xf numFmtId="165" fontId="0" fillId="0" borderId="96" xfId="17" applyFont="1" applyBorder="1"/>
    <xf numFmtId="165" fontId="0" fillId="0" borderId="96" xfId="17" applyFont="1" applyBorder="1" applyAlignment="1">
      <alignment horizontal="center"/>
    </xf>
    <xf numFmtId="4" fontId="0" fillId="0" borderId="97" xfId="17" applyNumberFormat="1" applyFont="1" applyBorder="1"/>
    <xf numFmtId="165" fontId="0" fillId="0" borderId="98" xfId="17" applyFont="1" applyBorder="1"/>
    <xf numFmtId="165" fontId="0" fillId="0" borderId="99" xfId="17" applyFont="1" applyBorder="1"/>
    <xf numFmtId="165" fontId="0" fillId="0" borderId="100" xfId="17" applyFont="1" applyBorder="1" applyAlignment="1">
      <alignment horizontal="center"/>
    </xf>
    <xf numFmtId="165" fontId="0" fillId="0" borderId="100" xfId="17" applyFont="1" applyBorder="1"/>
    <xf numFmtId="165" fontId="0" fillId="0" borderId="101" xfId="17" applyFont="1" applyBorder="1"/>
    <xf numFmtId="165" fontId="0" fillId="0" borderId="102" xfId="17" applyFont="1" applyBorder="1"/>
    <xf numFmtId="165" fontId="0" fillId="0" borderId="103" xfId="17" applyFont="1" applyBorder="1" applyAlignment="1">
      <alignment horizontal="center"/>
    </xf>
    <xf numFmtId="165" fontId="0" fillId="0" borderId="103" xfId="17" applyFont="1" applyBorder="1"/>
    <xf numFmtId="165" fontId="0" fillId="0" borderId="104" xfId="17" applyFont="1" applyBorder="1"/>
    <xf numFmtId="165" fontId="0" fillId="0" borderId="0" xfId="17" applyFont="1" applyFill="1" applyBorder="1"/>
    <xf numFmtId="165" fontId="43" fillId="20" borderId="105" xfId="18" applyFont="1" applyFill="1" applyBorder="1" applyAlignment="1">
      <alignment horizontal="left"/>
    </xf>
    <xf numFmtId="165" fontId="43" fillId="20" borderId="106" xfId="18" applyFont="1" applyFill="1" applyBorder="1" applyAlignment="1">
      <alignment horizontal="left"/>
    </xf>
    <xf numFmtId="3" fontId="43" fillId="20" borderId="106" xfId="18" applyNumberFormat="1" applyFont="1" applyFill="1" applyBorder="1"/>
    <xf numFmtId="4" fontId="43" fillId="20" borderId="106" xfId="18" applyNumberFormat="1" applyFont="1" applyFill="1" applyBorder="1"/>
    <xf numFmtId="4" fontId="11" fillId="20" borderId="107" xfId="18" applyNumberFormat="1" applyFont="1" applyFill="1" applyBorder="1"/>
    <xf numFmtId="3" fontId="43" fillId="20" borderId="106" xfId="18" applyNumberFormat="1" applyFont="1" applyFill="1" applyBorder="1" applyAlignment="1">
      <alignment horizontal="center"/>
    </xf>
    <xf numFmtId="3" fontId="43" fillId="20" borderId="108" xfId="18" applyNumberFormat="1" applyFont="1" applyFill="1" applyBorder="1"/>
    <xf numFmtId="165" fontId="0" fillId="0" borderId="109" xfId="17" applyFont="1" applyBorder="1"/>
    <xf numFmtId="165" fontId="45" fillId="0" borderId="110" xfId="17" applyFont="1" applyBorder="1"/>
    <xf numFmtId="165" fontId="0" fillId="0" borderId="111" xfId="17" applyFont="1" applyBorder="1"/>
    <xf numFmtId="4" fontId="0" fillId="0" borderId="111" xfId="17" applyNumberFormat="1" applyFont="1" applyBorder="1"/>
    <xf numFmtId="4" fontId="0" fillId="0" borderId="112" xfId="17" applyNumberFormat="1" applyFont="1" applyBorder="1"/>
    <xf numFmtId="165" fontId="0" fillId="0" borderId="111" xfId="17" applyFont="1" applyBorder="1" applyAlignment="1">
      <alignment horizontal="center"/>
    </xf>
    <xf numFmtId="165" fontId="0" fillId="0" borderId="113" xfId="17" applyFont="1" applyBorder="1"/>
    <xf numFmtId="4" fontId="43" fillId="20" borderId="107" xfId="18" applyNumberFormat="1" applyFont="1" applyFill="1" applyBorder="1"/>
    <xf numFmtId="165" fontId="0" fillId="0" borderId="114" xfId="17" applyFont="1" applyBorder="1"/>
    <xf numFmtId="165" fontId="0" fillId="0" borderId="92" xfId="17" applyFont="1" applyBorder="1"/>
    <xf numFmtId="4" fontId="0" fillId="0" borderId="92" xfId="17" applyNumberFormat="1" applyFont="1" applyBorder="1"/>
    <xf numFmtId="4" fontId="0" fillId="0" borderId="93" xfId="17" applyNumberFormat="1" applyFont="1" applyBorder="1"/>
    <xf numFmtId="165" fontId="0" fillId="0" borderId="92" xfId="17" applyFont="1" applyBorder="1" applyAlignment="1">
      <alignment horizontal="center"/>
    </xf>
    <xf numFmtId="165" fontId="0" fillId="0" borderId="115" xfId="17" applyFont="1" applyBorder="1"/>
    <xf numFmtId="165" fontId="43" fillId="20" borderId="85" xfId="18" applyFont="1" applyFill="1" applyBorder="1" applyAlignment="1">
      <alignment horizontal="left"/>
    </xf>
    <xf numFmtId="3" fontId="43" fillId="20" borderId="85" xfId="18" applyNumberFormat="1" applyFont="1" applyFill="1" applyBorder="1"/>
    <xf numFmtId="4" fontId="43" fillId="20" borderId="85" xfId="18" applyNumberFormat="1" applyFont="1" applyFill="1" applyBorder="1"/>
    <xf numFmtId="4" fontId="43" fillId="20" borderId="86" xfId="18" applyNumberFormat="1" applyFont="1" applyFill="1" applyBorder="1"/>
    <xf numFmtId="3" fontId="43" fillId="20" borderId="85" xfId="18" applyNumberFormat="1" applyFont="1" applyFill="1" applyBorder="1" applyAlignment="1">
      <alignment horizontal="center"/>
    </xf>
    <xf numFmtId="165" fontId="45" fillId="0" borderId="116" xfId="17" applyFont="1" applyBorder="1"/>
    <xf numFmtId="165" fontId="0" fillId="0" borderId="117" xfId="17" applyFont="1" applyBorder="1"/>
    <xf numFmtId="4" fontId="0" fillId="0" borderId="117" xfId="17" applyNumberFormat="1" applyFont="1" applyBorder="1"/>
    <xf numFmtId="4" fontId="0" fillId="0" borderId="118" xfId="17" applyNumberFormat="1" applyFont="1" applyBorder="1"/>
    <xf numFmtId="4" fontId="0" fillId="0" borderId="119" xfId="17" applyNumberFormat="1" applyFont="1" applyBorder="1" applyAlignment="1">
      <alignment horizontal="center"/>
    </xf>
    <xf numFmtId="165" fontId="45" fillId="0" borderId="82" xfId="17" applyFont="1" applyBorder="1"/>
    <xf numFmtId="4" fontId="0" fillId="0" borderId="0" xfId="17" applyNumberFormat="1" applyFont="1" applyBorder="1" applyAlignment="1">
      <alignment horizontal="right"/>
    </xf>
    <xf numFmtId="0" fontId="0" fillId="0" borderId="0" xfId="17" applyNumberFormat="1" applyFont="1" applyBorder="1"/>
    <xf numFmtId="165" fontId="0" fillId="0" borderId="0" xfId="17" applyFont="1" applyFill="1"/>
    <xf numFmtId="165" fontId="0" fillId="0" borderId="0" xfId="17" quotePrefix="1" applyFont="1" applyFill="1" applyBorder="1"/>
    <xf numFmtId="4" fontId="11" fillId="20" borderId="85" xfId="18" applyNumberFormat="1" applyFont="1" applyFill="1" applyBorder="1"/>
    <xf numFmtId="165" fontId="0" fillId="0" borderId="116" xfId="17" applyFont="1" applyBorder="1"/>
    <xf numFmtId="165" fontId="0" fillId="0" borderId="117" xfId="17" quotePrefix="1" applyFont="1" applyFill="1" applyBorder="1"/>
    <xf numFmtId="165" fontId="0" fillId="0" borderId="117" xfId="17" applyFont="1" applyBorder="1" applyAlignment="1">
      <alignment horizontal="center"/>
    </xf>
    <xf numFmtId="3" fontId="0" fillId="0" borderId="117" xfId="17" applyNumberFormat="1" applyFont="1" applyBorder="1" applyAlignment="1">
      <alignment horizontal="right"/>
    </xf>
    <xf numFmtId="165" fontId="0" fillId="0" borderId="120" xfId="17" applyFont="1" applyBorder="1"/>
    <xf numFmtId="3" fontId="0" fillId="0" borderId="117" xfId="17" applyNumberFormat="1" applyFont="1" applyBorder="1"/>
    <xf numFmtId="165" fontId="0" fillId="0" borderId="121" xfId="17" applyFont="1" applyBorder="1"/>
    <xf numFmtId="165" fontId="46" fillId="0" borderId="0" xfId="18" applyFont="1" applyBorder="1"/>
    <xf numFmtId="165" fontId="0" fillId="0" borderId="122" xfId="17" applyFont="1" applyBorder="1"/>
    <xf numFmtId="165" fontId="21" fillId="0" borderId="0" xfId="18" applyFont="1" applyBorder="1"/>
    <xf numFmtId="3" fontId="0" fillId="0" borderId="0" xfId="17" applyNumberFormat="1" applyFont="1" applyBorder="1"/>
    <xf numFmtId="166" fontId="0" fillId="0" borderId="0" xfId="17" applyNumberFormat="1" applyFont="1" applyBorder="1"/>
    <xf numFmtId="14" fontId="21" fillId="0" borderId="0" xfId="18" applyNumberFormat="1" applyFont="1" applyBorder="1"/>
    <xf numFmtId="3" fontId="0" fillId="0" borderId="1" xfId="17" applyNumberFormat="1" applyFont="1" applyBorder="1"/>
    <xf numFmtId="165" fontId="1" fillId="0" borderId="0" xfId="17" applyFont="1" applyBorder="1"/>
    <xf numFmtId="3" fontId="1" fillId="0" borderId="2" xfId="17" applyNumberFormat="1" applyFont="1" applyBorder="1"/>
    <xf numFmtId="3" fontId="11" fillId="0" borderId="0" xfId="17" applyNumberFormat="1" applyFont="1" applyBorder="1"/>
    <xf numFmtId="3" fontId="1" fillId="0" borderId="0" xfId="17" applyNumberFormat="1" applyFont="1" applyBorder="1"/>
    <xf numFmtId="3" fontId="17" fillId="14" borderId="1" xfId="17" applyNumberFormat="1" applyFont="1" applyFill="1" applyBorder="1"/>
    <xf numFmtId="1" fontId="11" fillId="0" borderId="0" xfId="17" applyNumberFormat="1" applyFont="1" applyBorder="1" applyAlignment="1">
      <alignment horizontal="center"/>
    </xf>
    <xf numFmtId="165" fontId="0" fillId="0" borderId="123" xfId="17" applyFont="1" applyBorder="1"/>
    <xf numFmtId="165" fontId="0" fillId="0" borderId="90" xfId="17" applyFont="1" applyBorder="1"/>
    <xf numFmtId="165" fontId="0" fillId="0" borderId="124" xfId="17" applyFont="1" applyBorder="1"/>
    <xf numFmtId="165" fontId="1" fillId="0" borderId="90" xfId="17" applyFont="1" applyBorder="1"/>
    <xf numFmtId="3" fontId="1" fillId="0" borderId="90" xfId="17" applyNumberFormat="1" applyFont="1" applyBorder="1"/>
    <xf numFmtId="165" fontId="0" fillId="0" borderId="90" xfId="17" applyFont="1" applyBorder="1" applyAlignment="1">
      <alignment horizontal="center"/>
    </xf>
    <xf numFmtId="165" fontId="0" fillId="0" borderId="125" xfId="17" applyFont="1" applyBorder="1"/>
    <xf numFmtId="165" fontId="0" fillId="0" borderId="126" xfId="17" applyFont="1" applyBorder="1"/>
    <xf numFmtId="165" fontId="0" fillId="0" borderId="88" xfId="17" applyFont="1" applyBorder="1"/>
    <xf numFmtId="165" fontId="0" fillId="0" borderId="88" xfId="17" quotePrefix="1" applyFont="1" applyFill="1" applyBorder="1"/>
    <xf numFmtId="165" fontId="0" fillId="0" borderId="88" xfId="17" applyFont="1" applyBorder="1" applyAlignment="1">
      <alignment horizontal="center"/>
    </xf>
    <xf numFmtId="3" fontId="0" fillId="0" borderId="88" xfId="17" applyNumberFormat="1" applyFont="1" applyBorder="1" applyAlignment="1">
      <alignment horizontal="right"/>
    </xf>
    <xf numFmtId="165" fontId="0" fillId="0" borderId="127" xfId="17" applyFont="1" applyBorder="1"/>
    <xf numFmtId="3" fontId="0" fillId="0" borderId="88" xfId="17" applyNumberFormat="1" applyFont="1" applyBorder="1"/>
    <xf numFmtId="165" fontId="0" fillId="0" borderId="128" xfId="17" applyFont="1" applyBorder="1"/>
    <xf numFmtId="165" fontId="14" fillId="0" borderId="0" xfId="17" applyFont="1" applyBorder="1"/>
    <xf numFmtId="165" fontId="0" fillId="0" borderId="129" xfId="17" applyFont="1" applyBorder="1"/>
    <xf numFmtId="165" fontId="1" fillId="0" borderId="0" xfId="17" applyFont="1" applyBorder="1" applyAlignment="1">
      <alignment horizontal="center"/>
    </xf>
    <xf numFmtId="3" fontId="0" fillId="0" borderId="0" xfId="17" applyNumberFormat="1" applyFont="1" applyBorder="1" applyAlignment="1">
      <alignment horizontal="center"/>
    </xf>
    <xf numFmtId="15" fontId="0" fillId="0" borderId="129" xfId="17" applyNumberFormat="1" applyFont="1" applyBorder="1" applyAlignment="1">
      <alignment horizontal="left"/>
    </xf>
    <xf numFmtId="17" fontId="0" fillId="0" borderId="0" xfId="17" applyNumberFormat="1" applyFont="1" applyBorder="1"/>
    <xf numFmtId="165" fontId="21" fillId="0" borderId="0" xfId="18" applyFont="1" applyBorder="1" applyAlignment="1"/>
    <xf numFmtId="165" fontId="17" fillId="0" borderId="0" xfId="17" applyFont="1" applyBorder="1"/>
    <xf numFmtId="165" fontId="21" fillId="0" borderId="0" xfId="18" applyFont="1" applyFill="1" applyBorder="1" applyAlignment="1"/>
    <xf numFmtId="1" fontId="17" fillId="14" borderId="0" xfId="17" quotePrefix="1" applyNumberFormat="1" applyFont="1" applyFill="1" applyBorder="1" applyAlignment="1">
      <alignment horizontal="left"/>
    </xf>
    <xf numFmtId="49" fontId="47" fillId="0" borderId="0" xfId="17" quotePrefix="1" applyNumberFormat="1" applyFont="1" applyFill="1" applyBorder="1" applyAlignment="1" applyProtection="1">
      <alignment horizontal="left" vertical="center"/>
      <protection locked="0"/>
    </xf>
    <xf numFmtId="165" fontId="0" fillId="0" borderId="0" xfId="17" applyFont="1" applyFill="1" applyBorder="1" applyAlignment="1">
      <alignment horizontal="left"/>
    </xf>
    <xf numFmtId="165" fontId="48" fillId="0" borderId="0" xfId="17" applyFont="1"/>
    <xf numFmtId="165" fontId="48" fillId="0" borderId="0" xfId="17" quotePrefix="1" applyFont="1"/>
    <xf numFmtId="165" fontId="0" fillId="0" borderId="130" xfId="17" applyFont="1" applyBorder="1"/>
    <xf numFmtId="165" fontId="49" fillId="0" borderId="0" xfId="17" applyFont="1" applyAlignment="1">
      <alignment horizontal="justify" vertical="center"/>
    </xf>
    <xf numFmtId="0" fontId="10" fillId="13" borderId="0" xfId="5" applyFill="1"/>
    <xf numFmtId="165" fontId="45" fillId="0" borderId="132" xfId="17" applyFont="1" applyBorder="1"/>
    <xf numFmtId="165" fontId="0" fillId="3" borderId="132" xfId="17" applyFont="1" applyFill="1" applyBorder="1"/>
    <xf numFmtId="165" fontId="0" fillId="0" borderId="132" xfId="17" applyFont="1" applyFill="1" applyBorder="1" applyAlignment="1">
      <alignment horizontal="center"/>
    </xf>
    <xf numFmtId="4" fontId="0" fillId="0" borderId="132" xfId="6" applyNumberFormat="1" applyFont="1" applyBorder="1"/>
    <xf numFmtId="4" fontId="0" fillId="0" borderId="132" xfId="17" applyNumberFormat="1" applyFont="1" applyBorder="1"/>
    <xf numFmtId="4" fontId="0" fillId="0" borderId="131" xfId="17" applyNumberFormat="1" applyFont="1" applyBorder="1"/>
    <xf numFmtId="167" fontId="0" fillId="0" borderId="133" xfId="17" applyNumberFormat="1" applyFont="1" applyBorder="1"/>
    <xf numFmtId="173" fontId="0" fillId="0" borderId="133" xfId="17" applyNumberFormat="1" applyFont="1" applyBorder="1" applyAlignment="1">
      <alignment horizontal="center"/>
    </xf>
    <xf numFmtId="4" fontId="0" fillId="0" borderId="133" xfId="17" applyNumberFormat="1" applyFont="1" applyBorder="1"/>
    <xf numFmtId="4" fontId="0" fillId="0" borderId="134" xfId="17" applyNumberFormat="1" applyFont="1" applyBorder="1"/>
    <xf numFmtId="167" fontId="0" fillId="0" borderId="0" xfId="17" applyNumberFormat="1" applyFont="1" applyBorder="1"/>
    <xf numFmtId="15" fontId="17" fillId="0" borderId="0" xfId="17" applyNumberFormat="1" applyFont="1" applyFill="1" applyBorder="1" applyAlignment="1">
      <alignment horizontal="left"/>
    </xf>
    <xf numFmtId="165" fontId="1" fillId="0" borderId="0" xfId="17" applyFont="1" applyFill="1" applyBorder="1" applyAlignment="1">
      <alignment horizontal="left"/>
    </xf>
    <xf numFmtId="165" fontId="1" fillId="0" borderId="0" xfId="17" applyFont="1" applyFill="1" applyBorder="1"/>
    <xf numFmtId="0" fontId="6" fillId="0" borderId="17" xfId="4" applyBorder="1" applyAlignment="1"/>
    <xf numFmtId="0" fontId="6" fillId="0" borderId="21" xfId="4" applyBorder="1" applyAlignment="1"/>
    <xf numFmtId="0" fontId="6" fillId="0" borderId="22" xfId="4" applyBorder="1" applyAlignment="1"/>
    <xf numFmtId="165" fontId="45" fillId="0" borderId="88" xfId="17" applyFont="1" applyBorder="1" applyAlignment="1">
      <alignment horizontal="left" vertical="center"/>
    </xf>
    <xf numFmtId="165" fontId="45" fillId="0" borderId="0" xfId="17" applyFont="1" applyBorder="1" applyAlignment="1">
      <alignment horizontal="left" vertical="center"/>
    </xf>
    <xf numFmtId="165" fontId="45" fillId="0" borderId="90" xfId="17" applyFont="1" applyBorder="1" applyAlignment="1">
      <alignment horizontal="left" vertical="center"/>
    </xf>
    <xf numFmtId="0" fontId="9" fillId="0" borderId="0" xfId="4" applyFont="1" applyAlignment="1">
      <alignment horizontal="center" wrapText="1"/>
    </xf>
    <xf numFmtId="0" fontId="9" fillId="0" borderId="0" xfId="4" applyFont="1" applyAlignment="1">
      <alignment horizontal="center"/>
    </xf>
    <xf numFmtId="0" fontId="6" fillId="0" borderId="12" xfId="4" applyBorder="1" applyAlignment="1">
      <alignment horizontal="left"/>
    </xf>
    <xf numFmtId="0" fontId="6" fillId="0" borderId="13" xfId="4" applyBorder="1" applyAlignment="1">
      <alignment horizontal="left"/>
    </xf>
    <xf numFmtId="0" fontId="6" fillId="0" borderId="14" xfId="4" applyBorder="1" applyAlignment="1">
      <alignment horizontal="left"/>
    </xf>
    <xf numFmtId="0" fontId="23" fillId="0" borderId="0" xfId="4" applyFont="1" applyAlignment="1">
      <alignment horizontal="center" vertical="center"/>
    </xf>
    <xf numFmtId="0" fontId="29" fillId="8" borderId="0" xfId="11" applyFont="1" applyFill="1" applyBorder="1" applyAlignment="1">
      <alignment horizontal="center" vertical="center" wrapText="1"/>
    </xf>
    <xf numFmtId="0" fontId="28" fillId="8" borderId="26" xfId="11" applyFont="1" applyFill="1" applyBorder="1" applyAlignment="1">
      <alignment horizontal="center" vertical="center" wrapText="1"/>
    </xf>
    <xf numFmtId="0" fontId="28" fillId="8" borderId="27" xfId="11" applyFont="1" applyFill="1" applyBorder="1" applyAlignment="1">
      <alignment horizontal="center" vertical="center" wrapText="1"/>
    </xf>
    <xf numFmtId="0" fontId="28" fillId="8" borderId="44" xfId="11" applyFont="1" applyFill="1" applyBorder="1" applyAlignment="1">
      <alignment horizontal="center" vertical="center" wrapText="1"/>
    </xf>
    <xf numFmtId="0" fontId="28" fillId="0" borderId="78" xfId="11" applyFont="1" applyBorder="1" applyAlignment="1">
      <alignment horizontal="center" vertical="center" wrapText="1"/>
    </xf>
    <xf numFmtId="0" fontId="28" fillId="0" borderId="73" xfId="11" applyFont="1" applyBorder="1" applyAlignment="1">
      <alignment horizontal="center" vertical="center" wrapText="1"/>
    </xf>
    <xf numFmtId="0" fontId="28" fillId="0" borderId="66" xfId="11" applyFont="1" applyBorder="1" applyAlignment="1">
      <alignment horizontal="center" vertical="center" wrapText="1"/>
    </xf>
    <xf numFmtId="15" fontId="36" fillId="8" borderId="3" xfId="11" applyNumberFormat="1" applyFont="1" applyFill="1" applyBorder="1" applyAlignment="1">
      <alignment horizontal="center" vertical="center" wrapText="1"/>
    </xf>
    <xf numFmtId="15" fontId="36" fillId="8" borderId="37" xfId="11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5" fillId="0" borderId="0" xfId="0" applyFont="1" applyAlignment="1">
      <alignment horizontal="left" vertical="top" wrapText="1"/>
    </xf>
    <xf numFmtId="0" fontId="3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5" fillId="0" borderId="0" xfId="0" quotePrefix="1" applyFont="1" applyAlignment="1">
      <alignment horizontal="left" vertical="top" wrapText="1"/>
    </xf>
    <xf numFmtId="0" fontId="1" fillId="0" borderId="2" xfId="0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left" vertical="center"/>
    </xf>
    <xf numFmtId="0" fontId="0" fillId="0" borderId="8" xfId="0" applyFont="1" applyFill="1" applyBorder="1" applyAlignment="1">
      <alignment horizontal="left" vertical="center"/>
    </xf>
    <xf numFmtId="0" fontId="28" fillId="0" borderId="0" xfId="10" applyFont="1" applyBorder="1" applyAlignment="1">
      <alignment horizontal="center"/>
    </xf>
    <xf numFmtId="0" fontId="29" fillId="0" borderId="0" xfId="10" applyFont="1" applyBorder="1" applyAlignment="1">
      <alignment horizontal="center"/>
    </xf>
    <xf numFmtId="0" fontId="7" fillId="0" borderId="0" xfId="10" applyFont="1" applyBorder="1" applyAlignment="1">
      <alignment horizontal="left" vertical="top" wrapText="1"/>
    </xf>
    <xf numFmtId="0" fontId="34" fillId="0" borderId="0" xfId="10" applyFont="1" applyBorder="1" applyAlignment="1">
      <alignment horizontal="left" vertical="center" wrapText="1"/>
    </xf>
    <xf numFmtId="0" fontId="7" fillId="0" borderId="2" xfId="10" applyFont="1" applyBorder="1" applyAlignment="1">
      <alignment horizontal="center"/>
    </xf>
    <xf numFmtId="0" fontId="33" fillId="0" borderId="0" xfId="10" applyFont="1" applyBorder="1" applyAlignment="1">
      <alignment horizontal="left" vertical="top" wrapText="1"/>
    </xf>
    <xf numFmtId="0" fontId="34" fillId="0" borderId="0" xfId="10" applyFont="1" applyBorder="1" applyAlignment="1">
      <alignment horizontal="left" vertical="top" wrapText="1"/>
    </xf>
    <xf numFmtId="0" fontId="33" fillId="0" borderId="0" xfId="5" applyFont="1" applyAlignment="1">
      <alignment horizontal="left" vertical="center" wrapText="1"/>
    </xf>
    <xf numFmtId="0" fontId="34" fillId="0" borderId="0" xfId="10" applyFont="1" applyBorder="1" applyAlignment="1">
      <alignment horizontal="center" vertical="top" wrapText="1"/>
    </xf>
    <xf numFmtId="0" fontId="7" fillId="0" borderId="0" xfId="10" applyFont="1" applyFill="1" applyBorder="1" applyAlignment="1">
      <alignment horizontal="center"/>
    </xf>
    <xf numFmtId="0" fontId="28" fillId="0" borderId="0" xfId="10" applyFont="1" applyFill="1" applyBorder="1" applyAlignment="1">
      <alignment horizontal="center"/>
    </xf>
    <xf numFmtId="0" fontId="7" fillId="7" borderId="0" xfId="10" applyFont="1" applyFill="1" applyBorder="1" applyAlignment="1" applyProtection="1">
      <alignment horizontal="left"/>
      <protection locked="0"/>
    </xf>
    <xf numFmtId="0" fontId="7" fillId="0" borderId="0" xfId="10" applyFont="1" applyFill="1" applyBorder="1" applyAlignment="1" applyProtection="1">
      <alignment horizontal="left"/>
      <protection locked="0"/>
    </xf>
    <xf numFmtId="0" fontId="7" fillId="0" borderId="0" xfId="10" applyFont="1" applyAlignment="1">
      <alignment horizontal="center"/>
    </xf>
    <xf numFmtId="0" fontId="7" fillId="0" borderId="0" xfId="10" applyFont="1" applyBorder="1" applyAlignment="1">
      <alignment horizontal="center" vertical="top" wrapText="1"/>
    </xf>
  </cellXfs>
  <cellStyles count="19">
    <cellStyle name="Across 46 3" xfId="15"/>
    <cellStyle name="Hipervínculo" xfId="16" builtinId="8"/>
    <cellStyle name="Millares [0] 8" xfId="7"/>
    <cellStyle name="Millares 10" xfId="6"/>
    <cellStyle name="Millares 120" xfId="12"/>
    <cellStyle name="Millares 2" xfId="2"/>
    <cellStyle name="Millares 3" xfId="14"/>
    <cellStyle name="Normal" xfId="0" builtinId="0"/>
    <cellStyle name="Normal 2" xfId="1"/>
    <cellStyle name="Normal 2 2" xfId="18"/>
    <cellStyle name="Normal 2 3" xfId="13"/>
    <cellStyle name="Normal 3" xfId="5"/>
    <cellStyle name="Normal 4" xfId="17"/>
    <cellStyle name="Normal 6" xfId="3"/>
    <cellStyle name="Normal 7" xfId="4"/>
    <cellStyle name="Normal 73" xfId="10"/>
    <cellStyle name="Normal 73 2" xfId="11"/>
    <cellStyle name="Porcentaje 2" xfId="8"/>
    <cellStyle name="Porcentaje 30" xfId="9"/>
  </cellStyles>
  <dxfs count="5">
    <dxf>
      <font>
        <strike/>
        <color rgb="FF9C0006"/>
      </font>
      <fill>
        <patternFill>
          <bgColor rgb="FFFFC7CE"/>
        </patternFill>
      </fill>
    </dxf>
    <dxf>
      <font>
        <strike/>
        <color rgb="FF9C0006"/>
      </font>
      <fill>
        <patternFill>
          <bgColor rgb="FFFFC7CE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7455</xdr:colOff>
      <xdr:row>13</xdr:row>
      <xdr:rowOff>1102</xdr:rowOff>
    </xdr:from>
    <xdr:to>
      <xdr:col>6</xdr:col>
      <xdr:colOff>35064</xdr:colOff>
      <xdr:row>13</xdr:row>
      <xdr:rowOff>1102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499398FB-0732-42ED-A234-C1CAB0E5DE45}"/>
            </a:ext>
          </a:extLst>
        </xdr:cNvPr>
        <xdr:cNvCxnSpPr/>
      </xdr:nvCxnSpPr>
      <xdr:spPr>
        <a:xfrm>
          <a:off x="7455" y="2668102"/>
          <a:ext cx="10571784" cy="0"/>
        </a:xfrm>
        <a:prstGeom prst="line">
          <a:avLst/>
        </a:prstGeom>
        <a:ln w="28575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</xdr:row>
      <xdr:rowOff>0</xdr:rowOff>
    </xdr:from>
    <xdr:to>
      <xdr:col>6</xdr:col>
      <xdr:colOff>27609</xdr:colOff>
      <xdr:row>19</xdr:row>
      <xdr:rowOff>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E760CFB0-154E-43AB-9015-858DFA8A0199}"/>
            </a:ext>
          </a:extLst>
        </xdr:cNvPr>
        <xdr:cNvCxnSpPr/>
      </xdr:nvCxnSpPr>
      <xdr:spPr>
        <a:xfrm>
          <a:off x="0" y="3867150"/>
          <a:ext cx="10571784" cy="0"/>
        </a:xfrm>
        <a:prstGeom prst="line">
          <a:avLst/>
        </a:prstGeom>
        <a:ln w="28575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16933</xdr:colOff>
      <xdr:row>47</xdr:row>
      <xdr:rowOff>8467</xdr:rowOff>
    </xdr:from>
    <xdr:to>
      <xdr:col>6</xdr:col>
      <xdr:colOff>44542</xdr:colOff>
      <xdr:row>47</xdr:row>
      <xdr:rowOff>8467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1D46BA52-5CA0-40F9-9476-594D1077C8C3}"/>
            </a:ext>
          </a:extLst>
        </xdr:cNvPr>
        <xdr:cNvCxnSpPr/>
      </xdr:nvCxnSpPr>
      <xdr:spPr>
        <a:xfrm>
          <a:off x="16933" y="11200342"/>
          <a:ext cx="10571784" cy="0"/>
        </a:xfrm>
        <a:prstGeom prst="line">
          <a:avLst/>
        </a:prstGeom>
        <a:ln w="28575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186991</xdr:colOff>
      <xdr:row>2</xdr:row>
      <xdr:rowOff>118143</xdr:rowOff>
    </xdr:from>
    <xdr:to>
      <xdr:col>3</xdr:col>
      <xdr:colOff>0</xdr:colOff>
      <xdr:row>2</xdr:row>
      <xdr:rowOff>670593</xdr:rowOff>
    </xdr:to>
    <xdr:pic>
      <xdr:nvPicPr>
        <xdr:cNvPr id="2" name="2 Imagen" descr="cid:image001.png@01D1BBFA.343965D0">
          <a:extLst>
            <a:ext uri="{FF2B5EF4-FFF2-40B4-BE49-F238E27FC236}">
              <a16:creationId xmlns:a16="http://schemas.microsoft.com/office/drawing/2014/main" id="{4775AF97-C8FB-4955-A72E-21C3AC6321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4191" y="461043"/>
          <a:ext cx="1451309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293687</xdr:colOff>
      <xdr:row>1</xdr:row>
      <xdr:rowOff>158750</xdr:rowOff>
    </xdr:from>
    <xdr:to>
      <xdr:col>10</xdr:col>
      <xdr:colOff>42862</xdr:colOff>
      <xdr:row>3</xdr:row>
      <xdr:rowOff>238760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66E4DF7-DF54-4A15-93EF-0142CF4F8456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37375" y="285750"/>
          <a:ext cx="908050" cy="46101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75033</xdr:colOff>
      <xdr:row>1</xdr:row>
      <xdr:rowOff>112643</xdr:rowOff>
    </xdr:from>
    <xdr:to>
      <xdr:col>4</xdr:col>
      <xdr:colOff>606726</xdr:colOff>
      <xdr:row>3</xdr:row>
      <xdr:rowOff>284142</xdr:rowOff>
    </xdr:to>
    <xdr:pic>
      <xdr:nvPicPr>
        <xdr:cNvPr id="2" name="2 Imagen" descr="cid:image001.png@01D1BBFA.343965D0">
          <a:extLst>
            <a:ext uri="{FF2B5EF4-FFF2-40B4-BE49-F238E27FC236}">
              <a16:creationId xmlns:a16="http://schemas.microsoft.com/office/drawing/2014/main" id="{B4835072-8C3F-42CE-83A4-78E07999F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308" y="274568"/>
          <a:ext cx="1074618" cy="4953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Volumes\CONTENEDOR\Casa\20161202\Devuelta\C:\Volumes\CONTENEDOR\Casa\20161012\H:\Applications\Microsoft%20Excel.app\F:\astranna%20Consult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Volumes\CONTENEDOR\Casa\20161202\Devuelta\C:\Volumes\CONTENEDOR\Casa\20161012\H:\Applications\Microsoft%20Excel.app\C:\Trabajo\07.-%20J043\04.-%20Informe%20de%20Cierre\Anexo%20B\Inversi&#243;n%20Concentrador%20-%20Infraestructura%20Rv%20F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Volumes\CONTENEDOR\Casa\20161202\Devuelta\C:\Volumes\CONTENEDOR\Casa\20161012\H:\Applications\Microsoft%20Excel.app\C:\LUIS%20SEPULVEDA\Montec\Propuestas\Andacollo\AP%20y%20manejo%20AS\Cuadro%20de%20Precio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Volumes\CONTENEDOR\Casa\20161202\Devuelta\C:\Volumes\CONTENEDOR\Casa\20161012\H:\Applications\Microsoft%20Excel.app\C:\2111%20WO%20Proyecto%20Hipogeno%20Ing.%20Basica\06%20ProjServ\06%20ProjServ\Costs\BUDGET\Work\NEW_MASTER\NEW_MASTER_2007_06_02ABRAHAM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5.-%20Contratos\Informes\Copia%20de%20St_Ctto2016_r7_v3%20asot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1.-%20Formatos\2.-%20Solicitud%20Compra\Solicitud%20de%20Compra-Servicios%20Rev%201.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tranna_Consulta"/>
      <sheetName val="astranna_Consulta1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orización Valle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file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 EDP"/>
      <sheetName val="Estatus Contrato"/>
      <sheetName val="Commitment (2)"/>
      <sheetName val="Finiquito"/>
      <sheetName val="contract worksheet"/>
      <sheetName val="Hoja4"/>
      <sheetName val="Hoja5"/>
      <sheetName val="Resumen"/>
      <sheetName val="Area"/>
      <sheetName val="Ceco"/>
      <sheetName val="Mandte"/>
      <sheetName val="Ctta"/>
      <sheetName val="Ctto"/>
      <sheetName val="ODC"/>
      <sheetName val="EDP"/>
      <sheetName val="Provisiones"/>
      <sheetName val="Hoja3"/>
      <sheetName val="Hoja2"/>
      <sheetName val="SC-127 Aquiles"/>
      <sheetName val="SC-138 Sersum"/>
      <sheetName val="SC-139 E. Zavala"/>
      <sheetName val="SC-141 PTFX"/>
      <sheetName val="SC-143 Azerta"/>
      <sheetName val="SC-144 Brass"/>
      <sheetName val="SC-145 Cedrem"/>
      <sheetName val="SC-146 Azabache"/>
      <sheetName val="SC-148 R. Salazar"/>
      <sheetName val="SC-149 MM Consultores"/>
      <sheetName val="SC-150 ABE Consultores"/>
      <sheetName val="SC-151 Risk Consult"/>
      <sheetName val="SC-152 ITG Servicios"/>
      <sheetName val="SC-153 ITG El Morro"/>
      <sheetName val="SC-154 R. Guzmán"/>
      <sheetName val="SC-155 Sargento Aldea"/>
      <sheetName val="SC-156 ITG El Morro 2013"/>
      <sheetName val="SC-157 ITG Servicios 2013"/>
      <sheetName val="SC158 Prop. Minera"/>
      <sheetName val="SC-159 Cámaras"/>
      <sheetName val="SC-160 Cesmec"/>
      <sheetName val="SC-161 Geo Estabilidad"/>
      <sheetName val="SC-162 J. Ibarra"/>
      <sheetName val="SC-163 C. Pinochet"/>
      <sheetName val="SC-164 Claudio Jordán"/>
      <sheetName val="SC-165 Radioservice"/>
      <sheetName val="SC-167 Carlos Opazo"/>
      <sheetName val="SC-168 Teco"/>
      <sheetName val="SC-169 Charles Legget"/>
      <sheetName val="SC-170 Max"/>
      <sheetName val="SC-171 JC Seguridad"/>
      <sheetName val="SC-172 Cibersecurity"/>
      <sheetName val="SC-173 ITG Servicios"/>
      <sheetName val="SC-174 ITG El Morro"/>
      <sheetName val="SC-175 Geodesarrollo"/>
      <sheetName val="SC-176 MPD El Morro"/>
      <sheetName val="SC-177 Prodrilling"/>
      <sheetName val="SC-178 CEDREM"/>
      <sheetName val="SC-179 MPD Servicios"/>
      <sheetName val="SC-180 Azerta 2014"/>
      <sheetName val="SC-181 Hidromas"/>
      <sheetName val="SC-182 3C"/>
      <sheetName val="SC-183 Sodexo Vigilancia"/>
      <sheetName val="SC-184 Paula Arias Aseo"/>
      <sheetName val="SC-185 Sodexo Alimentación"/>
      <sheetName val="SC-186 Workmate"/>
      <sheetName val="SC187 - Espinoza"/>
      <sheetName val="SC-188 ESACHS"/>
      <sheetName val="SC-190 Tamarugal"/>
      <sheetName val="SC-191 Tamarugal"/>
      <sheetName val="SC-195 Wellfield"/>
      <sheetName val="SC-196 IMG"/>
      <sheetName val="SC-201 CEDREM"/>
      <sheetName val="SC201 CEDREM"/>
      <sheetName val="SC-204 TS ING"/>
      <sheetName val="SC-205 BGC"/>
      <sheetName val="SC-206 Azabache"/>
      <sheetName val="SC207 Sodexo"/>
      <sheetName val="SC208 FNEHME"/>
      <sheetName val="SC209 POCH"/>
      <sheetName val="SC210 Mi Voz"/>
      <sheetName val="SC211 TECO"/>
      <sheetName val="SC213 Internet Alto del Carmen"/>
      <sheetName val="SC214 C.Toro"/>
      <sheetName val="SC215 Prop Minera"/>
      <sheetName val="SC216 SERPRAM"/>
      <sheetName val="SC217 R. Salazar"/>
      <sheetName val="SC218 CPinochet EM"/>
      <sheetName val="SC219 CPinochet GS"/>
      <sheetName val="SC220 C. Jordán"/>
      <sheetName val="SC221 M Leyton"/>
      <sheetName val="SC222 Cesmec"/>
      <sheetName val="SC223 JC Seguridad"/>
      <sheetName val="SC224 Carlos Opazo"/>
      <sheetName val="SC225 ITGLOBAL"/>
      <sheetName val="SC226 CIBERSECURITY"/>
      <sheetName val="SC227 LORETO ALTMANN"/>
      <sheetName val="SC228 Carlos Lagos"/>
      <sheetName val="SC229 T Salazar"/>
      <sheetName val="SC230 Carolina Ubilla"/>
      <sheetName val="SC231 IT Global Audit"/>
      <sheetName val="SC232 Achilles"/>
      <sheetName val="SC233 Geodesarrollo"/>
      <sheetName val="SC234 Sondajes"/>
      <sheetName val="SC235 EIA"/>
      <sheetName val="SC236 Cariola Diez"/>
      <sheetName val="SC237 JAC"/>
      <sheetName val="SC238 H Cabello"/>
      <sheetName val="SC239 M Leyton"/>
      <sheetName val="SC241 Cibersecuity"/>
      <sheetName val="SC242 Crea"/>
      <sheetName val="SC243 EGM"/>
      <sheetName val="SC244 Azabache"/>
      <sheetName val="SC245 Myma"/>
      <sheetName val="SC246 Prop Minera Expl"/>
      <sheetName val="SC247 Cedrem"/>
      <sheetName val="SC248_16-002-Brass"/>
      <sheetName val="SC249 On Common Ground"/>
      <sheetName val="SC250 Soledad Farr"/>
      <sheetName val="SC251 Oroenergy"/>
      <sheetName val="SC252 Carlos Lagos"/>
      <sheetName val="SC253 Cibersecurity"/>
      <sheetName val="SC254 Horacio Bruna"/>
      <sheetName val="SC255 María Aude"/>
      <sheetName val="SC256 Griffith Drilling"/>
      <sheetName val="SC257 Fluor Chile"/>
      <sheetName val="SC258 Ordenes A"/>
      <sheetName val="SC259 Replan"/>
      <sheetName val="SC260 Knight Piesold"/>
      <sheetName val="SC261 Paula Arias"/>
      <sheetName val="SC262 Alejandro S"/>
      <sheetName val="SC263 Golder"/>
      <sheetName val="SC264 Doc HSEC"/>
      <sheetName val="SC265 Geobiota"/>
      <sheetName val="SC266 Fluor Early Work"/>
      <sheetName val="SC267 Inter GS"/>
      <sheetName val="SC268 Inter TR"/>
      <sheetName val="SC276 Cristian Rojas"/>
      <sheetName val="SC271 ECOTECNOS"/>
      <sheetName val="SC272 SIGA"/>
      <sheetName val="SC273 ME Catalan"/>
      <sheetName val="SC274 Rosa Escobar"/>
      <sheetName val="SC275 Sergio Iriarte"/>
      <sheetName val="SC277 Obrador Meyer"/>
      <sheetName val="SC278 SMC Arquitectos"/>
      <sheetName val="SC279 Serviterra"/>
      <sheetName val="SC285 Dorgambide"/>
      <sheetName val="Hoja9"/>
      <sheetName val="Hoja10"/>
      <sheetName val="Hoja11"/>
      <sheetName val="SC286_Fluor (OnSh)"/>
      <sheetName val="SC286_Fluor (OffSh)"/>
      <sheetName val="SC295 Angela Acevedo"/>
      <sheetName val="SC299 Andreas Dietrich"/>
      <sheetName val="SC304 Heredia"/>
      <sheetName val="SC306 JML Jeff LaFoy"/>
      <sheetName val="Corredor SpA-&gt;"/>
      <sheetName val="S-065 Securitas"/>
      <sheetName val="OS-036 TrulyNolen"/>
      <sheetName val="S-057 Aerorescate"/>
      <sheetName val="S-175 Serviterra"/>
      <sheetName val="C-010 Algoritmo "/>
      <sheetName val="OS-131 Milena Cyd"/>
      <sheetName val="OS-144 Ordenes"/>
      <sheetName val="Casa La Paz"/>
      <sheetName val="OS-010 West"/>
      <sheetName val="OS16-02 Nutriser"/>
      <sheetName val="OS16-03 Serviterra"/>
      <sheetName val="OS16-04 West"/>
      <sheetName val="OS-078 GHD"/>
      <sheetName val="OS-065 Clemente"/>
      <sheetName val="OS2016-001 PhotoSat"/>
      <sheetName val="OS2016-005 Taxi Libert"/>
      <sheetName val="OS2016-006 hotel Solaris"/>
      <sheetName val="OS2016-007 Enfoque Digital"/>
      <sheetName val="OS2016-008 RadioAmiga"/>
      <sheetName val="OS2016-009 Woodgrove"/>
      <sheetName val="OS2016-010 Doppelmayr"/>
      <sheetName val="OS2016-011 ValleVerde"/>
      <sheetName val="OS2016-012 Commet Strategy"/>
      <sheetName val="OS2016-013 Consuelo P"/>
      <sheetName val="OS2016-015 Fernando Solar"/>
      <sheetName val="OS2016-016 Runge"/>
      <sheetName val="OS2016-019 Consuelo P"/>
      <sheetName val="OS2016-021 Petrinovic"/>
      <sheetName val="OS2016-022 Aguas Chañar"/>
      <sheetName val="OS2016-024 Workmate"/>
      <sheetName val="OS2016-026 Weekmark"/>
      <sheetName val="OS2016-027 Lizama"/>
      <sheetName val="OS2016-028 Petrinovic"/>
      <sheetName val="OS2016-029 P. Leyton"/>
      <sheetName val="OS2016-030 Golder"/>
      <sheetName val="OS2016-031 ASP"/>
      <sheetName val="OS2016-032 Crea"/>
      <sheetName val="OS2016-033 Copec"/>
      <sheetName val="OS2016-034 Bioseptic"/>
      <sheetName val="OS2016-035 Mi voz"/>
      <sheetName val="OS2016-036 Asesoría Comuni"/>
      <sheetName val="OS2016-037 AB Marketin"/>
      <sheetName val="OS2016-038 Elizabeth del C"/>
      <sheetName val="OS2016-039 Promet101"/>
      <sheetName val="Hoja8"/>
      <sheetName val="OS2016-040 Infocarp"/>
      <sheetName val="OS2016-041 Mutual"/>
      <sheetName val="OS2016-042 Cariola Diez Perez-C"/>
      <sheetName val="OS2016-043 Vergara Galindo "/>
      <sheetName val="OS2016-044 Cristobal Correa"/>
      <sheetName val="OS2016-045 Serviterra "/>
      <sheetName val="OS2016-046 Bioseptic"/>
      <sheetName val="OS2016-047 Zetaeco"/>
      <sheetName val="OS2016-048 Ingrid Cortes"/>
      <sheetName val="OS2016-049 Ana Maria Muñoz"/>
      <sheetName val="OS2016-050 Luis Rivera "/>
      <sheetName val="OS2016-053 EY"/>
      <sheetName val="OS2016-058 Nutriser"/>
      <sheetName val="OS2016-061 Workmate"/>
      <sheetName val="OS2016-064 Metso"/>
      <sheetName val="OS2016-065 Amipro"/>
      <sheetName val="OS2016-066 Doppelmayr"/>
      <sheetName val="OS2016-067 Conveyor Dynamics"/>
      <sheetName val="OS2016-075 Amec Foster"/>
      <sheetName val="OS2016-077 Knight Piesold"/>
      <sheetName val="OS2016-078 West El Morro"/>
      <sheetName val="OS2016-081 electrodharma"/>
      <sheetName val="OS2016-082 CC Vallenar"/>
      <sheetName val="OS2016-083 Ximena Baez Miemprex"/>
      <sheetName val="OS2016-084 Heredia Santana"/>
      <sheetName val="OS2016-085 Consuelo P "/>
      <sheetName val="OS2016-086 Joquin Prieto"/>
      <sheetName val="OS2016-088 Axesat"/>
      <sheetName val="OS2016-089 Plagas Hidalgo"/>
      <sheetName val="OS2016-091 Pizarro Cafeteria"/>
      <sheetName val="OS2016-093 Phibrand"/>
      <sheetName val="OS2016-094 UBC"/>
      <sheetName val="OS2016-097 CDO Consulting"/>
      <sheetName val="OS2016-102 Sipcom"/>
      <sheetName val="OS-2016-103 Azabache"/>
      <sheetName val="OS2016-106 Atacama Gestión"/>
      <sheetName val="OS2016-107 The Bridge"/>
      <sheetName val="OS2016-108 Salinas &amp; Bertrand-G"/>
      <sheetName val="OS2016-109 GCF"/>
      <sheetName val="CV2016-002 EmprendeJoven"/>
      <sheetName val="CV2016-003 Fundacion Chile"/>
      <sheetName val="CV2016-004 Muni Vallenar"/>
      <sheetName val="CV2016-007 Otec A. del Carmen"/>
      <sheetName val="CV2016-005 Muni Alto del Carmen"/>
      <sheetName val="CV2016-006 Muni Huasco"/>
      <sheetName val="OS2014-170 Anam"/>
      <sheetName val="OCM2016-01 Terrenova"/>
      <sheetName val="OCM2016-02 SCL Apoq"/>
      <sheetName val="OCM2016-03 Cadagua"/>
      <sheetName val="OS2017-001 Delfina Lopez"/>
      <sheetName val="OS2017-002 H Concha"/>
      <sheetName val="OS2017-003 Electrodharma"/>
      <sheetName val="OS2017-005 Vallenorte"/>
      <sheetName val="OS2017-007 Alejandra Gonzalez"/>
      <sheetName val="OS2017-010 Mineria Consultores"/>
      <sheetName val="OS2017-017 Truly Nolen"/>
      <sheetName val="Control OCM"/>
      <sheetName val="Commitment"/>
      <sheetName val="Resumen CO-S"/>
      <sheetName val="Hoja7"/>
      <sheetName val="Cuentas"/>
      <sheetName val="Prov2015_txt"/>
      <sheetName val="Histórico "/>
      <sheetName val="Clasificación"/>
      <sheetName val="Hoja1"/>
      <sheetName val="Borrar Cc"/>
      <sheetName val="Area_B"/>
      <sheetName val="Ceco_B"/>
      <sheetName val="Mandante_B"/>
      <sheetName val="Ctta_B"/>
      <sheetName val="Ctto_B"/>
      <sheetName val="EDP_B"/>
      <sheetName val="ODC_B"/>
      <sheetName val="Hoja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>
        <row r="66">
          <cell r="K66">
            <v>1593</v>
          </cell>
        </row>
      </sheetData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. Intro"/>
      <sheetName val="1. Solicitud"/>
      <sheetName val="2. Sole Source"/>
      <sheetName val="Contratos --&gt;"/>
      <sheetName val="3. Recepcion"/>
      <sheetName val="4. EDP"/>
      <sheetName val="Formatos -&gt;"/>
      <sheetName val="5. HistEDP"/>
      <sheetName val="6. Orden de Compra"/>
      <sheetName val="7. Orden de Servicio"/>
      <sheetName val="8. Aut. Commitment"/>
      <sheetName val="Actualización --&gt;"/>
      <sheetName val="9. O.S. Actualizacion"/>
      <sheetName val="Ordenes de Cambio --&gt;"/>
      <sheetName val="10. CA-Actualización"/>
      <sheetName val="11. Exención RAT"/>
      <sheetName val="12. Due Dilligence"/>
      <sheetName val="13. Base Datos"/>
      <sheetName val="14. C Contab"/>
      <sheetName val="15. Ceco y Dueños"/>
      <sheetName val="16. Finiquito OS"/>
      <sheetName val="17. Services Order"/>
      <sheetName val="19. ODC (Ctto)"/>
      <sheetName val="20. Aut. Commitment (Ctto)"/>
      <sheetName val="21. Anexo A"/>
      <sheetName val="18. ACT. Services Order "/>
    </sheetNames>
    <sheetDataSet>
      <sheetData sheetId="0" refreshError="1"/>
      <sheetData sheetId="1" refreshError="1">
        <row r="27">
          <cell r="O27" t="str">
            <v>Walter Droppelmann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T91"/>
  <sheetViews>
    <sheetView view="pageBreakPreview" topLeftCell="A15" zoomScale="80" zoomScaleNormal="120" zoomScaleSheetLayoutView="80" zoomScalePageLayoutView="120" workbookViewId="0">
      <selection activeCell="E70" sqref="E70"/>
    </sheetView>
  </sheetViews>
  <sheetFormatPr baseColWidth="10" defaultColWidth="10.7109375" defaultRowHeight="15" outlineLevelCol="1" x14ac:dyDescent="0.25"/>
  <cols>
    <col min="1" max="2" width="1.7109375" style="523" customWidth="1"/>
    <col min="3" max="3" width="25" style="523" customWidth="1"/>
    <col min="4" max="4" width="21.7109375" style="523" customWidth="1"/>
    <col min="5" max="5" width="17" style="523" customWidth="1"/>
    <col min="6" max="6" width="19" style="523" customWidth="1"/>
    <col min="7" max="7" width="22.28515625" style="523" bestFit="1" customWidth="1"/>
    <col min="8" max="8" width="19.28515625" style="523" customWidth="1"/>
    <col min="9" max="9" width="25.28515625" style="523" customWidth="1"/>
    <col min="10" max="10" width="15.28515625" style="523" customWidth="1"/>
    <col min="11" max="11" width="17.28515625" style="524" customWidth="1"/>
    <col min="12" max="12" width="13" style="525" customWidth="1"/>
    <col min="13" max="13" width="13" style="523" hidden="1" customWidth="1" outlineLevel="1"/>
    <col min="14" max="14" width="14.28515625" style="523" hidden="1" customWidth="1" outlineLevel="1"/>
    <col min="15" max="15" width="13" style="523" customWidth="1" collapsed="1"/>
    <col min="16" max="16" width="2.140625" style="523" customWidth="1"/>
    <col min="17" max="17" width="3" style="523" customWidth="1"/>
    <col min="18" max="18" width="15.140625" style="523" bestFit="1" customWidth="1"/>
    <col min="19" max="19" width="17.28515625" style="523" customWidth="1"/>
    <col min="20" max="21" width="10.7109375" style="523"/>
    <col min="22" max="22" width="21" style="523" customWidth="1"/>
    <col min="23" max="16384" width="10.7109375" style="523"/>
  </cols>
  <sheetData>
    <row r="1" spans="2:20" ht="9" customHeight="1" thickBot="1" x14ac:dyDescent="0.3"/>
    <row r="2" spans="2:20" ht="9" customHeight="1" thickTop="1" x14ac:dyDescent="0.25">
      <c r="B2" s="526"/>
      <c r="C2" s="527"/>
      <c r="D2" s="527"/>
      <c r="E2" s="527"/>
      <c r="F2" s="527"/>
      <c r="G2" s="527"/>
      <c r="H2" s="527"/>
      <c r="I2" s="527"/>
      <c r="J2" s="527"/>
      <c r="K2" s="527"/>
      <c r="L2" s="528"/>
      <c r="M2" s="527"/>
      <c r="N2" s="527"/>
      <c r="O2" s="527"/>
      <c r="P2" s="529"/>
    </row>
    <row r="3" spans="2:20" x14ac:dyDescent="0.25">
      <c r="B3" s="530"/>
      <c r="C3" s="524"/>
      <c r="D3" s="524"/>
      <c r="E3" s="524"/>
      <c r="F3" s="524"/>
      <c r="G3" s="524"/>
      <c r="H3" s="524"/>
      <c r="I3" s="524"/>
      <c r="J3" s="524"/>
      <c r="L3" s="525" t="s">
        <v>294</v>
      </c>
      <c r="M3" s="524"/>
      <c r="N3" s="524"/>
      <c r="O3" s="531"/>
      <c r="P3" s="532"/>
    </row>
    <row r="4" spans="2:20" x14ac:dyDescent="0.25">
      <c r="B4" s="530"/>
      <c r="C4" s="524"/>
      <c r="D4" s="524"/>
      <c r="E4" s="524"/>
      <c r="F4" s="524"/>
      <c r="G4" s="524"/>
      <c r="H4" s="524"/>
      <c r="I4" s="524"/>
      <c r="J4" s="524"/>
      <c r="L4" s="525" t="s">
        <v>24</v>
      </c>
      <c r="M4" s="524"/>
      <c r="N4" s="524"/>
      <c r="O4" s="524"/>
      <c r="P4" s="532"/>
    </row>
    <row r="5" spans="2:20" x14ac:dyDescent="0.25">
      <c r="B5" s="530"/>
      <c r="C5" s="524"/>
      <c r="D5" s="524"/>
      <c r="E5" s="524"/>
      <c r="F5" s="524"/>
      <c r="G5" s="524"/>
      <c r="H5" s="524"/>
      <c r="I5" s="524"/>
      <c r="J5" s="524"/>
      <c r="M5" s="524"/>
      <c r="N5" s="524"/>
      <c r="O5" s="524"/>
      <c r="P5" s="532"/>
    </row>
    <row r="6" spans="2:20" ht="25.5" customHeight="1" x14ac:dyDescent="0.25">
      <c r="B6" s="530"/>
      <c r="C6" s="533" t="s">
        <v>2</v>
      </c>
      <c r="D6" s="524"/>
      <c r="E6" s="524" t="s">
        <v>295</v>
      </c>
      <c r="F6" s="534">
        <f>Datos!B8</f>
        <v>0</v>
      </c>
      <c r="G6" s="535"/>
      <c r="H6" s="535"/>
      <c r="I6" s="535"/>
      <c r="J6" s="524"/>
      <c r="M6" s="524"/>
      <c r="N6" s="524"/>
      <c r="O6" s="524"/>
      <c r="P6" s="532"/>
    </row>
    <row r="7" spans="2:20" ht="25.5" customHeight="1" x14ac:dyDescent="0.25">
      <c r="B7" s="530"/>
      <c r="C7" s="533" t="s">
        <v>296</v>
      </c>
      <c r="D7" s="524"/>
      <c r="E7" s="524" t="s">
        <v>295</v>
      </c>
      <c r="F7" s="534">
        <f>Datos!B7</f>
        <v>0</v>
      </c>
      <c r="G7" s="535"/>
      <c r="H7" s="535"/>
      <c r="I7" s="535"/>
      <c r="J7" s="524"/>
      <c r="M7" s="524"/>
      <c r="N7" s="524"/>
      <c r="O7" s="524"/>
      <c r="P7" s="532"/>
      <c r="R7" s="536"/>
      <c r="T7" s="523" t="s">
        <v>71</v>
      </c>
    </row>
    <row r="8" spans="2:20" ht="25.5" customHeight="1" x14ac:dyDescent="0.25">
      <c r="B8" s="530"/>
      <c r="C8" s="533" t="s">
        <v>1</v>
      </c>
      <c r="D8" s="524"/>
      <c r="E8" s="524" t="s">
        <v>295</v>
      </c>
      <c r="F8" s="537">
        <f>Datos!B20</f>
        <v>0</v>
      </c>
      <c r="G8" s="538"/>
      <c r="H8" s="538"/>
      <c r="I8" s="538"/>
      <c r="J8" s="524"/>
      <c r="M8" s="524"/>
      <c r="N8" s="524"/>
      <c r="O8" s="524"/>
      <c r="P8" s="532"/>
      <c r="S8" s="539"/>
    </row>
    <row r="9" spans="2:20" ht="25.5" customHeight="1" x14ac:dyDescent="0.25">
      <c r="B9" s="530"/>
      <c r="C9" s="533" t="s">
        <v>297</v>
      </c>
      <c r="D9" s="524"/>
      <c r="E9" s="524" t="s">
        <v>295</v>
      </c>
      <c r="F9" s="537">
        <f>Datos!B21</f>
        <v>0</v>
      </c>
      <c r="G9" s="538"/>
      <c r="H9" s="538"/>
      <c r="I9" s="538"/>
      <c r="J9" s="524"/>
      <c r="M9" s="524"/>
      <c r="N9" s="524"/>
      <c r="O9" s="524"/>
      <c r="P9" s="532"/>
      <c r="S9" s="539"/>
    </row>
    <row r="10" spans="2:20" ht="25.5" customHeight="1" x14ac:dyDescent="0.25">
      <c r="B10" s="530"/>
      <c r="C10" s="533" t="s">
        <v>120</v>
      </c>
      <c r="D10" s="524"/>
      <c r="E10" s="524" t="s">
        <v>295</v>
      </c>
      <c r="F10" s="540" t="str">
        <f>IF(Datos!B60="","",Datos!B60)</f>
        <v/>
      </c>
      <c r="G10" s="538"/>
      <c r="H10" s="538"/>
      <c r="I10" s="538"/>
      <c r="J10" s="524"/>
      <c r="M10" s="524"/>
      <c r="N10" s="524"/>
      <c r="O10" s="524"/>
      <c r="P10" s="532"/>
    </row>
    <row r="11" spans="2:20" ht="15.75" thickBot="1" x14ac:dyDescent="0.3">
      <c r="B11" s="530"/>
      <c r="C11" s="524"/>
      <c r="D11" s="524"/>
      <c r="E11" s="524"/>
      <c r="F11" s="524"/>
      <c r="G11" s="524"/>
      <c r="H11" s="524"/>
      <c r="I11" s="524"/>
      <c r="J11" s="524"/>
      <c r="M11" s="524"/>
      <c r="N11" s="524"/>
      <c r="O11" s="524"/>
      <c r="P11" s="532"/>
    </row>
    <row r="12" spans="2:20" ht="60.75" customHeight="1" thickTop="1" thickBot="1" x14ac:dyDescent="0.3">
      <c r="B12" s="530"/>
      <c r="C12" s="541" t="s">
        <v>92</v>
      </c>
      <c r="D12" s="542" t="s">
        <v>298</v>
      </c>
      <c r="E12" s="542" t="s">
        <v>299</v>
      </c>
      <c r="F12" s="543" t="s">
        <v>300</v>
      </c>
      <c r="G12" s="542" t="s">
        <v>301</v>
      </c>
      <c r="H12" s="542" t="s">
        <v>302</v>
      </c>
      <c r="I12" s="542" t="s">
        <v>303</v>
      </c>
      <c r="J12" s="542" t="s">
        <v>304</v>
      </c>
      <c r="K12" s="544" t="s">
        <v>305</v>
      </c>
      <c r="L12" s="545" t="s">
        <v>306</v>
      </c>
      <c r="M12" s="544" t="s">
        <v>307</v>
      </c>
      <c r="N12" s="544" t="s">
        <v>308</v>
      </c>
      <c r="O12" s="544" t="s">
        <v>309</v>
      </c>
      <c r="P12" s="532"/>
    </row>
    <row r="13" spans="2:20" ht="15.75" thickTop="1" x14ac:dyDescent="0.25">
      <c r="B13" s="530"/>
      <c r="C13" s="680" t="s">
        <v>310</v>
      </c>
      <c r="D13" s="546"/>
      <c r="E13" s="525">
        <f>Datos!B42</f>
        <v>0</v>
      </c>
      <c r="F13" s="547">
        <f>Datos!B43</f>
        <v>0</v>
      </c>
      <c r="G13" s="548"/>
      <c r="H13" s="548"/>
      <c r="I13" s="548"/>
      <c r="J13" s="548"/>
      <c r="K13" s="549">
        <f>+F13</f>
        <v>0</v>
      </c>
      <c r="M13" s="524"/>
      <c r="N13" s="524"/>
      <c r="O13" s="524"/>
      <c r="P13" s="532"/>
    </row>
    <row r="14" spans="2:20" x14ac:dyDescent="0.25">
      <c r="B14" s="530"/>
      <c r="C14" s="681"/>
      <c r="D14" s="546"/>
      <c r="E14" s="525"/>
      <c r="F14" s="550"/>
      <c r="G14" s="547"/>
      <c r="H14" s="548"/>
      <c r="I14" s="548"/>
      <c r="J14" s="548"/>
      <c r="K14" s="549">
        <f t="shared" ref="K14:K15" si="0">+F14</f>
        <v>0</v>
      </c>
      <c r="M14" s="524"/>
      <c r="N14" s="524"/>
      <c r="O14" s="524"/>
      <c r="P14" s="532"/>
      <c r="S14" s="551">
        <v>45</v>
      </c>
    </row>
    <row r="15" spans="2:20" ht="15.75" thickBot="1" x14ac:dyDescent="0.3">
      <c r="B15" s="530"/>
      <c r="C15" s="682"/>
      <c r="D15" s="546"/>
      <c r="E15" s="552"/>
      <c r="F15" s="547"/>
      <c r="G15" s="548"/>
      <c r="H15" s="548"/>
      <c r="I15" s="548"/>
      <c r="J15" s="548"/>
      <c r="K15" s="549">
        <f t="shared" si="0"/>
        <v>0</v>
      </c>
      <c r="M15" s="524"/>
      <c r="N15" s="524"/>
      <c r="O15" s="524"/>
      <c r="P15" s="532"/>
    </row>
    <row r="16" spans="2:20" ht="16.5" thickTop="1" thickBot="1" x14ac:dyDescent="0.3">
      <c r="B16" s="553"/>
      <c r="C16" s="554" t="s">
        <v>311</v>
      </c>
      <c r="D16" s="555"/>
      <c r="E16" s="556">
        <f>E13</f>
        <v>0</v>
      </c>
      <c r="F16" s="557">
        <f>SUM(F13:F15)</f>
        <v>0</v>
      </c>
      <c r="G16" s="557">
        <f>SUM(G15:G15)</f>
        <v>0</v>
      </c>
      <c r="H16" s="557"/>
      <c r="I16" s="557">
        <f>SUM(I15:I15)</f>
        <v>0</v>
      </c>
      <c r="J16" s="557">
        <v>0</v>
      </c>
      <c r="K16" s="558">
        <f>SUM(K13:K15)</f>
        <v>0</v>
      </c>
      <c r="L16" s="556"/>
      <c r="M16" s="555"/>
      <c r="N16" s="555"/>
      <c r="O16" s="555"/>
      <c r="P16" s="559"/>
    </row>
    <row r="17" spans="2:16" ht="16.5" thickTop="1" thickBot="1" x14ac:dyDescent="0.3">
      <c r="B17" s="530"/>
      <c r="C17" s="663" t="s">
        <v>312</v>
      </c>
      <c r="D17" s="664" t="s">
        <v>313</v>
      </c>
      <c r="E17" s="665" t="s">
        <v>314</v>
      </c>
      <c r="F17" s="666"/>
      <c r="G17" s="667"/>
      <c r="H17" s="667"/>
      <c r="I17" s="667"/>
      <c r="J17" s="668"/>
      <c r="K17" s="549"/>
      <c r="M17" s="524"/>
      <c r="N17" s="524"/>
      <c r="O17" s="524"/>
      <c r="P17" s="532"/>
    </row>
    <row r="18" spans="2:16" ht="16.5" thickTop="1" thickBot="1" x14ac:dyDescent="0.3">
      <c r="B18" s="560"/>
      <c r="C18" s="669">
        <f>Datos!AC2</f>
        <v>0</v>
      </c>
      <c r="D18" s="670" t="str">
        <f>IF(Datos!AD2="","",Datos!AD2)</f>
        <v/>
      </c>
      <c r="E18" s="669">
        <f>Datos!AE2</f>
        <v>0</v>
      </c>
      <c r="F18" s="669">
        <f>Datos!AG2</f>
        <v>0</v>
      </c>
      <c r="G18" s="669">
        <f>Datos!AF2</f>
        <v>0</v>
      </c>
      <c r="H18" s="671"/>
      <c r="I18" s="671"/>
      <c r="J18" s="672"/>
      <c r="K18" s="563">
        <f>+F18</f>
        <v>0</v>
      </c>
      <c r="L18" s="562"/>
      <c r="M18" s="561"/>
      <c r="N18" s="561"/>
      <c r="O18" s="561"/>
      <c r="P18" s="564"/>
    </row>
    <row r="19" spans="2:16" ht="16.5" thickTop="1" thickBot="1" x14ac:dyDescent="0.3">
      <c r="B19" s="565"/>
      <c r="C19" s="669">
        <f>Datos!AC3</f>
        <v>0</v>
      </c>
      <c r="D19" s="670" t="str">
        <f>IF(Datos!AD3="","",Datos!AD3)</f>
        <v/>
      </c>
      <c r="E19" s="669">
        <f>Datos!AE3</f>
        <v>0</v>
      </c>
      <c r="F19" s="669">
        <f>Datos!AG3</f>
        <v>0</v>
      </c>
      <c r="G19" s="669">
        <f>Datos!AF3</f>
        <v>0</v>
      </c>
      <c r="H19" s="671"/>
      <c r="I19" s="671"/>
      <c r="J19" s="672"/>
      <c r="K19" s="563">
        <f t="shared" ref="K19:K25" si="1">+F19</f>
        <v>0</v>
      </c>
      <c r="L19" s="566"/>
      <c r="M19" s="567"/>
      <c r="N19" s="567"/>
      <c r="O19" s="567"/>
      <c r="P19" s="568"/>
    </row>
    <row r="20" spans="2:16" ht="16.5" thickTop="1" thickBot="1" x14ac:dyDescent="0.3">
      <c r="B20" s="569"/>
      <c r="C20" s="669">
        <f>Datos!AC4</f>
        <v>0</v>
      </c>
      <c r="D20" s="670" t="str">
        <f>IF(Datos!AD4="","",Datos!AD4)</f>
        <v/>
      </c>
      <c r="E20" s="669">
        <f>Datos!AE4</f>
        <v>0</v>
      </c>
      <c r="F20" s="669">
        <f>Datos!AG4</f>
        <v>0</v>
      </c>
      <c r="G20" s="669">
        <f>Datos!AF4</f>
        <v>0</v>
      </c>
      <c r="H20" s="671"/>
      <c r="I20" s="671"/>
      <c r="J20" s="672"/>
      <c r="K20" s="563">
        <f t="shared" si="1"/>
        <v>0</v>
      </c>
      <c r="L20" s="570"/>
      <c r="M20" s="571"/>
      <c r="N20" s="571"/>
      <c r="O20" s="571"/>
      <c r="P20" s="572"/>
    </row>
    <row r="21" spans="2:16" ht="16.5" thickTop="1" thickBot="1" x14ac:dyDescent="0.3">
      <c r="B21" s="530"/>
      <c r="C21" s="669">
        <f>Datos!AC5</f>
        <v>0</v>
      </c>
      <c r="D21" s="670" t="str">
        <f>IF(Datos!AD5="","",Datos!AD5)</f>
        <v/>
      </c>
      <c r="E21" s="669">
        <f>Datos!AE5</f>
        <v>0</v>
      </c>
      <c r="F21" s="669">
        <f>Datos!AG5</f>
        <v>0</v>
      </c>
      <c r="G21" s="669">
        <f>Datos!AF5</f>
        <v>0</v>
      </c>
      <c r="H21" s="671"/>
      <c r="I21" s="671"/>
      <c r="J21" s="672"/>
      <c r="K21" s="563">
        <f t="shared" si="1"/>
        <v>0</v>
      </c>
      <c r="M21" s="524"/>
      <c r="N21" s="524"/>
      <c r="O21" s="524"/>
      <c r="P21" s="532"/>
    </row>
    <row r="22" spans="2:16" ht="16.5" thickTop="1" thickBot="1" x14ac:dyDescent="0.3">
      <c r="B22" s="530"/>
      <c r="C22" s="669">
        <f>Datos!AC6</f>
        <v>0</v>
      </c>
      <c r="D22" s="670" t="str">
        <f>IF(Datos!AD6="","",Datos!AD6)</f>
        <v/>
      </c>
      <c r="E22" s="669">
        <f>Datos!AE6</f>
        <v>0</v>
      </c>
      <c r="F22" s="669">
        <f>Datos!AG6</f>
        <v>0</v>
      </c>
      <c r="G22" s="669">
        <f>Datos!AF6</f>
        <v>0</v>
      </c>
      <c r="H22" s="671"/>
      <c r="I22" s="671"/>
      <c r="J22" s="672"/>
      <c r="K22" s="563">
        <f t="shared" si="1"/>
        <v>0</v>
      </c>
      <c r="M22" s="524"/>
      <c r="N22" s="524"/>
      <c r="O22" s="524"/>
      <c r="P22" s="532"/>
    </row>
    <row r="23" spans="2:16" ht="16.5" thickTop="1" thickBot="1" x14ac:dyDescent="0.3">
      <c r="B23" s="530"/>
      <c r="C23" s="669">
        <f>Datos!AC7</f>
        <v>0</v>
      </c>
      <c r="D23" s="670" t="str">
        <f>IF(Datos!AD7="","",Datos!AD7)</f>
        <v/>
      </c>
      <c r="E23" s="669">
        <f>Datos!AE7</f>
        <v>0</v>
      </c>
      <c r="F23" s="669">
        <f>Datos!AG7</f>
        <v>0</v>
      </c>
      <c r="G23" s="669">
        <f>Datos!AF7</f>
        <v>0</v>
      </c>
      <c r="H23" s="671"/>
      <c r="I23" s="671"/>
      <c r="J23" s="672"/>
      <c r="K23" s="563">
        <f t="shared" si="1"/>
        <v>0</v>
      </c>
      <c r="M23" s="524"/>
      <c r="N23" s="524"/>
      <c r="O23" s="524"/>
      <c r="P23" s="532"/>
    </row>
    <row r="24" spans="2:16" ht="16.5" thickTop="1" thickBot="1" x14ac:dyDescent="0.3">
      <c r="B24" s="530"/>
      <c r="C24" s="669">
        <f>Datos!AC8</f>
        <v>0</v>
      </c>
      <c r="D24" s="670" t="str">
        <f>IF(Datos!AD8="","",Datos!AD8)</f>
        <v/>
      </c>
      <c r="E24" s="669">
        <f>Datos!AE8</f>
        <v>0</v>
      </c>
      <c r="F24" s="669">
        <f>Datos!AG8</f>
        <v>0</v>
      </c>
      <c r="G24" s="669">
        <f>Datos!AF8</f>
        <v>0</v>
      </c>
      <c r="H24" s="671"/>
      <c r="I24" s="671"/>
      <c r="J24" s="672"/>
      <c r="K24" s="563">
        <f t="shared" si="1"/>
        <v>0</v>
      </c>
      <c r="M24" s="524"/>
      <c r="N24" s="524"/>
      <c r="O24" s="524"/>
      <c r="P24" s="532"/>
    </row>
    <row r="25" spans="2:16" ht="16.5" thickTop="1" thickBot="1" x14ac:dyDescent="0.3">
      <c r="B25" s="530"/>
      <c r="C25" s="669">
        <f>Datos!AC9</f>
        <v>0</v>
      </c>
      <c r="D25" s="670" t="str">
        <f>IF(Datos!AD9="","",Datos!AD9)</f>
        <v/>
      </c>
      <c r="E25" s="669">
        <f>Datos!AE9</f>
        <v>0</v>
      </c>
      <c r="F25" s="669">
        <f>Datos!AG9</f>
        <v>0</v>
      </c>
      <c r="G25" s="669">
        <f>Datos!AF9</f>
        <v>0</v>
      </c>
      <c r="H25" s="671"/>
      <c r="I25" s="671"/>
      <c r="J25" s="672"/>
      <c r="K25" s="563">
        <f t="shared" si="1"/>
        <v>0</v>
      </c>
      <c r="M25" s="524"/>
      <c r="N25" s="524"/>
      <c r="O25" s="524"/>
      <c r="P25" s="532"/>
    </row>
    <row r="26" spans="2:16" ht="16.5" thickTop="1" thickBot="1" x14ac:dyDescent="0.3">
      <c r="B26" s="530"/>
      <c r="C26" s="524"/>
      <c r="D26" s="524"/>
      <c r="E26" s="525"/>
      <c r="F26" s="548"/>
      <c r="G26" s="548"/>
      <c r="H26" s="548"/>
      <c r="I26" s="548"/>
      <c r="J26" s="548"/>
      <c r="K26" s="563"/>
      <c r="M26" s="524"/>
      <c r="N26" s="524"/>
      <c r="O26" s="524"/>
      <c r="P26" s="532"/>
    </row>
    <row r="27" spans="2:16" ht="16.5" thickTop="1" thickBot="1" x14ac:dyDescent="0.3">
      <c r="B27" s="574" t="s">
        <v>315</v>
      </c>
      <c r="C27" s="575"/>
      <c r="D27" s="576"/>
      <c r="E27" s="576"/>
      <c r="F27" s="577">
        <f>SUM(F18:F26)</f>
        <v>0</v>
      </c>
      <c r="G27" s="577">
        <f>+G26</f>
        <v>0</v>
      </c>
      <c r="H27" s="577"/>
      <c r="I27" s="577">
        <f>+I26</f>
        <v>0</v>
      </c>
      <c r="J27" s="577">
        <f>+J26</f>
        <v>0</v>
      </c>
      <c r="K27" s="578">
        <f>SUM(K17:K26)</f>
        <v>0</v>
      </c>
      <c r="L27" s="579"/>
      <c r="M27" s="576"/>
      <c r="N27" s="576"/>
      <c r="O27" s="576"/>
      <c r="P27" s="580"/>
    </row>
    <row r="28" spans="2:16" ht="16.5" thickTop="1" thickBot="1" x14ac:dyDescent="0.3">
      <c r="B28" s="581"/>
      <c r="C28" s="582" t="s">
        <v>316</v>
      </c>
      <c r="D28" s="583"/>
      <c r="E28" s="583"/>
      <c r="F28" s="584"/>
      <c r="G28" s="584"/>
      <c r="H28" s="584"/>
      <c r="I28" s="584"/>
      <c r="J28" s="584"/>
      <c r="K28" s="585"/>
      <c r="L28" s="586"/>
      <c r="M28" s="583"/>
      <c r="N28" s="583"/>
      <c r="O28" s="583"/>
      <c r="P28" s="587"/>
    </row>
    <row r="29" spans="2:16" ht="16.5" thickTop="1" thickBot="1" x14ac:dyDescent="0.3">
      <c r="B29" s="530"/>
      <c r="C29" s="524"/>
      <c r="D29" s="524"/>
      <c r="E29" s="524"/>
      <c r="F29" s="548"/>
      <c r="G29" s="548"/>
      <c r="H29" s="548"/>
      <c r="I29" s="548"/>
      <c r="J29" s="548"/>
      <c r="K29" s="549"/>
      <c r="M29" s="524"/>
      <c r="N29" s="524"/>
      <c r="O29" s="524"/>
      <c r="P29" s="532"/>
    </row>
    <row r="30" spans="2:16" ht="16.5" thickTop="1" thickBot="1" x14ac:dyDescent="0.3">
      <c r="B30" s="574" t="s">
        <v>317</v>
      </c>
      <c r="C30" s="575"/>
      <c r="D30" s="576"/>
      <c r="E30" s="576"/>
      <c r="F30" s="577">
        <v>0</v>
      </c>
      <c r="G30" s="577">
        <v>0</v>
      </c>
      <c r="H30" s="577"/>
      <c r="I30" s="577">
        <v>0</v>
      </c>
      <c r="J30" s="577">
        <v>0</v>
      </c>
      <c r="K30" s="588">
        <f>SUM(K29:K29)</f>
        <v>0</v>
      </c>
      <c r="L30" s="579"/>
      <c r="M30" s="576"/>
      <c r="N30" s="576"/>
      <c r="O30" s="576"/>
      <c r="P30" s="580"/>
    </row>
    <row r="31" spans="2:16" ht="16.5" thickTop="1" thickBot="1" x14ac:dyDescent="0.3">
      <c r="B31" s="589"/>
      <c r="C31" s="590"/>
      <c r="D31" s="590"/>
      <c r="E31" s="590"/>
      <c r="F31" s="591"/>
      <c r="G31" s="591"/>
      <c r="H31" s="591"/>
      <c r="I31" s="591"/>
      <c r="J31" s="591"/>
      <c r="K31" s="592"/>
      <c r="L31" s="593"/>
      <c r="M31" s="590"/>
      <c r="N31" s="590"/>
      <c r="O31" s="590"/>
      <c r="P31" s="594"/>
    </row>
    <row r="32" spans="2:16" ht="16.5" thickTop="1" thickBot="1" x14ac:dyDescent="0.3">
      <c r="B32" s="553" t="s">
        <v>318</v>
      </c>
      <c r="C32" s="595"/>
      <c r="D32" s="596"/>
      <c r="E32" s="596"/>
      <c r="F32" s="597">
        <f>+F16+F27</f>
        <v>0</v>
      </c>
      <c r="G32" s="597">
        <f>+G16+G27</f>
        <v>0</v>
      </c>
      <c r="H32" s="597"/>
      <c r="I32" s="597">
        <f>+I16+I27</f>
        <v>0</v>
      </c>
      <c r="J32" s="597">
        <f>+J16+J27</f>
        <v>0</v>
      </c>
      <c r="K32" s="598">
        <f>+K27+K16</f>
        <v>0</v>
      </c>
      <c r="L32" s="599"/>
      <c r="M32" s="596"/>
      <c r="N32" s="596"/>
      <c r="O32" s="596"/>
      <c r="P32" s="559"/>
    </row>
    <row r="33" spans="2:17" ht="15.75" thickTop="1" x14ac:dyDescent="0.25">
      <c r="B33" s="600" t="s">
        <v>52</v>
      </c>
      <c r="C33" s="601"/>
      <c r="D33" s="524"/>
      <c r="E33" s="524"/>
      <c r="F33" s="548"/>
      <c r="G33" s="548"/>
      <c r="H33" s="548"/>
      <c r="I33" s="602"/>
      <c r="J33" s="603"/>
      <c r="K33" s="604"/>
      <c r="L33" s="524"/>
      <c r="M33" s="524"/>
      <c r="N33" s="524"/>
      <c r="O33" s="524"/>
      <c r="P33" s="532"/>
    </row>
    <row r="34" spans="2:17" x14ac:dyDescent="0.25">
      <c r="B34" s="605"/>
      <c r="C34" s="531" t="str">
        <f>IF(Datos!AJ2="","",Datos!AJ2)</f>
        <v/>
      </c>
      <c r="D34" s="525" t="str">
        <f>IF(Datos!AK2="","",Datos!AK2)</f>
        <v/>
      </c>
      <c r="E34" s="525" t="str">
        <f>IF(Datos!AL2="","",Datos!AL2)</f>
        <v/>
      </c>
      <c r="F34" s="673">
        <f>IF(Datos!AM2="",0,Datos!AM2)</f>
        <v>0</v>
      </c>
      <c r="G34" s="673">
        <f>IF(Datos!AN2="",0,Datos!AN2)</f>
        <v>0</v>
      </c>
      <c r="I34" s="673">
        <f>IF(Datos!AO2="",0,Datos!AO2)</f>
        <v>0</v>
      </c>
      <c r="J34" s="673">
        <f>IF(Datos!AP2="",0,Datos!AP2)</f>
        <v>0</v>
      </c>
      <c r="K34" s="547">
        <f>IFERROR(F34-G34+H34-I34+J34,0)</f>
        <v>0</v>
      </c>
      <c r="M34" s="524"/>
      <c r="N34" s="524"/>
      <c r="O34" s="607" t="str">
        <f>IF(Datos!AQ2="","",Datos!AQ2)</f>
        <v/>
      </c>
      <c r="P34" s="532"/>
      <c r="Q34" s="608"/>
    </row>
    <row r="35" spans="2:17" x14ac:dyDescent="0.25">
      <c r="B35" s="605"/>
      <c r="C35" s="531" t="str">
        <f>IF(Datos!AJ3="","",Datos!AJ3)</f>
        <v/>
      </c>
      <c r="D35" s="525" t="str">
        <f>IF(Datos!AK3="","",Datos!AK3)</f>
        <v/>
      </c>
      <c r="E35" s="525" t="str">
        <f>IF(Datos!AL3="","",Datos!AL3)</f>
        <v/>
      </c>
      <c r="F35" s="673">
        <f>IF(Datos!AM3="",0,Datos!AM3)</f>
        <v>0</v>
      </c>
      <c r="G35" s="673">
        <f>IF(Datos!AN3="",0,Datos!AN3)</f>
        <v>0</v>
      </c>
      <c r="I35" s="673">
        <f>IF(Datos!AO3="",0,Datos!AO3)</f>
        <v>0</v>
      </c>
      <c r="J35" s="673">
        <f>IF(Datos!AP3="",0,Datos!AP3)</f>
        <v>0</v>
      </c>
      <c r="K35" s="547">
        <f t="shared" ref="K35:K52" si="2">IFERROR(F35-G35+H35-I35+J35,0)</f>
        <v>0</v>
      </c>
      <c r="M35" s="524"/>
      <c r="N35" s="524"/>
      <c r="O35" s="607" t="str">
        <f>IF(Datos!AQ3="","",Datos!AQ3)</f>
        <v/>
      </c>
      <c r="P35" s="532"/>
    </row>
    <row r="36" spans="2:17" x14ac:dyDescent="0.25">
      <c r="B36" s="605"/>
      <c r="C36" s="531" t="str">
        <f>IF(Datos!AJ4="","",Datos!AJ4)</f>
        <v/>
      </c>
      <c r="D36" s="525" t="str">
        <f>IF(Datos!AK4="","",Datos!AK4)</f>
        <v/>
      </c>
      <c r="E36" s="525" t="str">
        <f>IF(Datos!AL4="","",Datos!AL4)</f>
        <v/>
      </c>
      <c r="F36" s="673">
        <f>IF(Datos!AM4="",0,Datos!AM4)</f>
        <v>0</v>
      </c>
      <c r="G36" s="673">
        <f>IF(Datos!AN4="",0,Datos!AN4)</f>
        <v>0</v>
      </c>
      <c r="I36" s="673">
        <f>IF(Datos!AO4="",0,Datos!AO4)</f>
        <v>0</v>
      </c>
      <c r="J36" s="673">
        <f>IF(Datos!AP4="",0,Datos!AP4)</f>
        <v>0</v>
      </c>
      <c r="K36" s="547">
        <f t="shared" si="2"/>
        <v>0</v>
      </c>
      <c r="M36" s="524"/>
      <c r="N36" s="524"/>
      <c r="O36" s="607" t="str">
        <f>IF(Datos!AQ4="","",Datos!AQ4)</f>
        <v/>
      </c>
      <c r="P36" s="532"/>
    </row>
    <row r="37" spans="2:17" x14ac:dyDescent="0.25">
      <c r="B37" s="605"/>
      <c r="C37" s="531" t="str">
        <f>IF(Datos!AJ5="","",Datos!AJ5)</f>
        <v/>
      </c>
      <c r="D37" s="525" t="str">
        <f>IF(Datos!AK5="","",Datos!AK5)</f>
        <v/>
      </c>
      <c r="E37" s="525" t="str">
        <f>IF(Datos!AL5="","",Datos!AL5)</f>
        <v/>
      </c>
      <c r="F37" s="673">
        <f>IF(Datos!AM5="",0,Datos!AM5)</f>
        <v>0</v>
      </c>
      <c r="G37" s="673">
        <f>IF(Datos!AN5="",0,Datos!AN5)</f>
        <v>0</v>
      </c>
      <c r="I37" s="673">
        <f>IF(Datos!AO5="",0,Datos!AO5)</f>
        <v>0</v>
      </c>
      <c r="J37" s="673">
        <f>IF(Datos!AP5="",0,Datos!AP5)</f>
        <v>0</v>
      </c>
      <c r="K37" s="547">
        <f t="shared" si="2"/>
        <v>0</v>
      </c>
      <c r="M37" s="524"/>
      <c r="N37" s="524"/>
      <c r="O37" s="607" t="str">
        <f>IF(Datos!AQ5="","",Datos!AQ5)</f>
        <v/>
      </c>
      <c r="P37" s="532"/>
    </row>
    <row r="38" spans="2:17" x14ac:dyDescent="0.25">
      <c r="B38" s="605"/>
      <c r="C38" s="531" t="str">
        <f>IF(Datos!AJ6="","",Datos!AJ6)</f>
        <v/>
      </c>
      <c r="D38" s="525" t="str">
        <f>IF(Datos!AK6="","",Datos!AK6)</f>
        <v/>
      </c>
      <c r="E38" s="525" t="str">
        <f>IF(Datos!AL6="","",Datos!AL6)</f>
        <v/>
      </c>
      <c r="F38" s="673">
        <f>IF(Datos!AM6="",0,Datos!AM6)</f>
        <v>0</v>
      </c>
      <c r="G38" s="673">
        <f>IF(Datos!AN6="",0,Datos!AN6)</f>
        <v>0</v>
      </c>
      <c r="I38" s="673">
        <f>IF(Datos!AO6="",0,Datos!AO6)</f>
        <v>0</v>
      </c>
      <c r="J38" s="673">
        <f>IF(Datos!AP6="",0,Datos!AP6)</f>
        <v>0</v>
      </c>
      <c r="K38" s="547">
        <f t="shared" si="2"/>
        <v>0</v>
      </c>
      <c r="M38" s="524"/>
      <c r="N38" s="524"/>
      <c r="O38" s="607" t="str">
        <f>IF(Datos!AQ6="","",Datos!AQ6)</f>
        <v/>
      </c>
      <c r="P38" s="532"/>
    </row>
    <row r="39" spans="2:17" x14ac:dyDescent="0.25">
      <c r="B39" s="605"/>
      <c r="C39" s="531" t="str">
        <f>IF(Datos!AJ7="","",Datos!AJ7)</f>
        <v/>
      </c>
      <c r="D39" s="525" t="str">
        <f>IF(Datos!AK7="","",Datos!AK7)</f>
        <v/>
      </c>
      <c r="E39" s="525" t="str">
        <f>IF(Datos!AL7="","",Datos!AL7)</f>
        <v/>
      </c>
      <c r="F39" s="673">
        <f>IF(Datos!AM7="",0,Datos!AM7)</f>
        <v>0</v>
      </c>
      <c r="G39" s="673">
        <f>IF(Datos!AN7="",0,Datos!AN7)</f>
        <v>0</v>
      </c>
      <c r="I39" s="673">
        <f>IF(Datos!AO7="",0,Datos!AO7)</f>
        <v>0</v>
      </c>
      <c r="J39" s="673">
        <f>IF(Datos!AP7="",0,Datos!AP7)</f>
        <v>0</v>
      </c>
      <c r="K39" s="547">
        <f t="shared" si="2"/>
        <v>0</v>
      </c>
      <c r="M39" s="524"/>
      <c r="N39" s="524"/>
      <c r="O39" s="607" t="str">
        <f>IF(Datos!AQ7="","",Datos!AQ7)</f>
        <v/>
      </c>
      <c r="P39" s="532"/>
    </row>
    <row r="40" spans="2:17" x14ac:dyDescent="0.25">
      <c r="B40" s="605"/>
      <c r="C40" s="531" t="str">
        <f>IF(Datos!AJ8="","",Datos!AJ8)</f>
        <v/>
      </c>
      <c r="D40" s="525" t="str">
        <f>IF(Datos!AK8="","",Datos!AK8)</f>
        <v/>
      </c>
      <c r="E40" s="525" t="str">
        <f>IF(Datos!AL8="","",Datos!AL8)</f>
        <v/>
      </c>
      <c r="F40" s="673">
        <f>IF(Datos!AM8="",0,Datos!AM8)</f>
        <v>0</v>
      </c>
      <c r="G40" s="673">
        <f>IF(Datos!AN8="",0,Datos!AN8)</f>
        <v>0</v>
      </c>
      <c r="I40" s="673">
        <f>IF(Datos!AO8="",0,Datos!AO8)</f>
        <v>0</v>
      </c>
      <c r="J40" s="673">
        <f>IF(Datos!AP8="",0,Datos!AP8)</f>
        <v>0</v>
      </c>
      <c r="K40" s="547">
        <f t="shared" si="2"/>
        <v>0</v>
      </c>
      <c r="M40" s="524"/>
      <c r="N40" s="524"/>
      <c r="O40" s="607" t="str">
        <f>IF(Datos!AQ8="","",Datos!AQ8)</f>
        <v/>
      </c>
      <c r="P40" s="532"/>
    </row>
    <row r="41" spans="2:17" x14ac:dyDescent="0.25">
      <c r="B41" s="605"/>
      <c r="C41" s="531" t="str">
        <f>IF(Datos!AJ9="","",Datos!AJ9)</f>
        <v/>
      </c>
      <c r="D41" s="525" t="str">
        <f>IF(Datos!AK9="","",Datos!AK9)</f>
        <v/>
      </c>
      <c r="E41" s="525" t="str">
        <f>IF(Datos!AL9="","",Datos!AL9)</f>
        <v/>
      </c>
      <c r="F41" s="673">
        <f>IF(Datos!AM9="",0,Datos!AM9)</f>
        <v>0</v>
      </c>
      <c r="G41" s="673">
        <f>IF(Datos!AN9="",0,Datos!AN9)</f>
        <v>0</v>
      </c>
      <c r="I41" s="673">
        <f>IF(Datos!AO9="",0,Datos!AO9)</f>
        <v>0</v>
      </c>
      <c r="J41" s="673">
        <f>IF(Datos!AP9="",0,Datos!AP9)</f>
        <v>0</v>
      </c>
      <c r="K41" s="547">
        <f t="shared" si="2"/>
        <v>0</v>
      </c>
      <c r="M41" s="524"/>
      <c r="N41" s="524"/>
      <c r="O41" s="607" t="str">
        <f>IF(Datos!AQ9="","",Datos!AQ9)</f>
        <v/>
      </c>
      <c r="P41" s="532"/>
    </row>
    <row r="42" spans="2:17" x14ac:dyDescent="0.25">
      <c r="B42" s="605"/>
      <c r="C42" s="531" t="str">
        <f>IF(Datos!AJ10="","",Datos!AJ10)</f>
        <v/>
      </c>
      <c r="D42" s="525" t="str">
        <f>IF(Datos!AK10="","",Datos!AK10)</f>
        <v/>
      </c>
      <c r="E42" s="525" t="str">
        <f>IF(Datos!AL10="","",Datos!AL10)</f>
        <v/>
      </c>
      <c r="F42" s="673">
        <f>IF(Datos!AM10="",0,Datos!AM10)</f>
        <v>0</v>
      </c>
      <c r="G42" s="673">
        <f>IF(Datos!AN10="",0,Datos!AN10)</f>
        <v>0</v>
      </c>
      <c r="I42" s="673">
        <f>IF(Datos!AO10="",0,Datos!AO10)</f>
        <v>0</v>
      </c>
      <c r="J42" s="673">
        <f>IF(Datos!AP10="",0,Datos!AP10)</f>
        <v>0</v>
      </c>
      <c r="K42" s="547">
        <f t="shared" si="2"/>
        <v>0</v>
      </c>
      <c r="M42" s="524"/>
      <c r="N42" s="524"/>
      <c r="O42" s="607" t="str">
        <f>IF(Datos!AQ10="","",Datos!AQ10)</f>
        <v/>
      </c>
      <c r="P42" s="532"/>
    </row>
    <row r="43" spans="2:17" x14ac:dyDescent="0.25">
      <c r="B43" s="605"/>
      <c r="C43" s="531" t="str">
        <f>IF(Datos!AJ11="","",Datos!AJ11)</f>
        <v/>
      </c>
      <c r="D43" s="525" t="str">
        <f>IF(Datos!AK11="","",Datos!AK11)</f>
        <v/>
      </c>
      <c r="E43" s="525" t="str">
        <f>IF(Datos!AL11="","",Datos!AL11)</f>
        <v/>
      </c>
      <c r="F43" s="673">
        <f>IF(Datos!AM11="",0,Datos!AM11)</f>
        <v>0</v>
      </c>
      <c r="G43" s="673">
        <f>IF(Datos!AN11="",0,Datos!AN11)</f>
        <v>0</v>
      </c>
      <c r="I43" s="673">
        <f>IF(Datos!AO11="",0,Datos!AO11)</f>
        <v>0</v>
      </c>
      <c r="J43" s="673">
        <f>IF(Datos!AP11="",0,Datos!AP11)</f>
        <v>0</v>
      </c>
      <c r="K43" s="547">
        <f t="shared" si="2"/>
        <v>0</v>
      </c>
      <c r="M43" s="524"/>
      <c r="N43" s="524"/>
      <c r="O43" s="607" t="str">
        <f>IF(Datos!AQ11="","",Datos!AQ11)</f>
        <v/>
      </c>
      <c r="P43" s="532"/>
    </row>
    <row r="44" spans="2:17" x14ac:dyDescent="0.25">
      <c r="B44" s="605"/>
      <c r="C44" s="531" t="str">
        <f>IF(Datos!AJ12="","",Datos!AJ12)</f>
        <v/>
      </c>
      <c r="D44" s="525" t="str">
        <f>IF(Datos!AK12="","",Datos!AK12)</f>
        <v/>
      </c>
      <c r="E44" s="525" t="str">
        <f>IF(Datos!AL12="","",Datos!AL12)</f>
        <v/>
      </c>
      <c r="F44" s="673">
        <f>IF(Datos!AM12="",0,Datos!AM12)</f>
        <v>0</v>
      </c>
      <c r="G44" s="673">
        <f>IF(Datos!AN12="",0,Datos!AN12)</f>
        <v>0</v>
      </c>
      <c r="I44" s="673">
        <f>IF(Datos!AO12="",0,Datos!AO12)</f>
        <v>0</v>
      </c>
      <c r="J44" s="673">
        <f>IF(Datos!AP12="",0,Datos!AP12)</f>
        <v>0</v>
      </c>
      <c r="K44" s="547">
        <f t="shared" si="2"/>
        <v>0</v>
      </c>
      <c r="M44" s="524"/>
      <c r="N44" s="524"/>
      <c r="O44" s="607" t="str">
        <f>IF(Datos!AQ12="","",Datos!AQ12)</f>
        <v/>
      </c>
      <c r="P44" s="532"/>
    </row>
    <row r="45" spans="2:17" x14ac:dyDescent="0.25">
      <c r="B45" s="605"/>
      <c r="C45" s="531" t="str">
        <f>IF(Datos!AJ13="","",Datos!AJ13)</f>
        <v/>
      </c>
      <c r="D45" s="525" t="str">
        <f>IF(Datos!AK13="","",Datos!AK13)</f>
        <v/>
      </c>
      <c r="E45" s="525" t="str">
        <f>IF(Datos!AL13="","",Datos!AL13)</f>
        <v/>
      </c>
      <c r="F45" s="673">
        <f>IF(Datos!AM13="",0,Datos!AM13)</f>
        <v>0</v>
      </c>
      <c r="G45" s="673">
        <f>IF(Datos!AN13="",0,Datos!AN13)</f>
        <v>0</v>
      </c>
      <c r="I45" s="673">
        <f>IF(Datos!AO13="",0,Datos!AO13)</f>
        <v>0</v>
      </c>
      <c r="J45" s="673">
        <f>IF(Datos!AP13="",0,Datos!AP13)</f>
        <v>0</v>
      </c>
      <c r="K45" s="547">
        <f t="shared" si="2"/>
        <v>0</v>
      </c>
      <c r="M45" s="524"/>
      <c r="N45" s="524"/>
      <c r="O45" s="607" t="str">
        <f>IF(Datos!AQ13="","",Datos!AQ13)</f>
        <v/>
      </c>
      <c r="P45" s="532"/>
    </row>
    <row r="46" spans="2:17" x14ac:dyDescent="0.25">
      <c r="B46" s="605"/>
      <c r="C46" s="531" t="str">
        <f>IF(Datos!AJ14="","",Datos!AJ14)</f>
        <v/>
      </c>
      <c r="D46" s="525" t="str">
        <f>IF(Datos!AK14="","",Datos!AK14)</f>
        <v/>
      </c>
      <c r="E46" s="525" t="str">
        <f>IF(Datos!AL14="","",Datos!AL14)</f>
        <v/>
      </c>
      <c r="F46" s="673">
        <f>IF(Datos!AM14="",0,Datos!AM14)</f>
        <v>0</v>
      </c>
      <c r="G46" s="673">
        <f>IF(Datos!AN14="",0,Datos!AN14)</f>
        <v>0</v>
      </c>
      <c r="I46" s="673">
        <f>IF(Datos!AO14="",0,Datos!AO14)</f>
        <v>0</v>
      </c>
      <c r="J46" s="673">
        <f>IF(Datos!AP14="",0,Datos!AP14)</f>
        <v>0</v>
      </c>
      <c r="K46" s="547">
        <f t="shared" si="2"/>
        <v>0</v>
      </c>
      <c r="M46" s="524"/>
      <c r="N46" s="524"/>
      <c r="O46" s="607" t="str">
        <f>IF(Datos!AQ14="","",Datos!AQ14)</f>
        <v/>
      </c>
      <c r="P46" s="532"/>
    </row>
    <row r="47" spans="2:17" x14ac:dyDescent="0.25">
      <c r="B47" s="605"/>
      <c r="C47" s="531" t="str">
        <f>IF(Datos!AJ15="","",Datos!AJ15)</f>
        <v/>
      </c>
      <c r="D47" s="525" t="str">
        <f>IF(Datos!AK15="","",Datos!AK15)</f>
        <v/>
      </c>
      <c r="E47" s="525" t="str">
        <f>IF(Datos!AL15="","",Datos!AL15)</f>
        <v/>
      </c>
      <c r="F47" s="673">
        <f>IF(Datos!AM15="",0,Datos!AM15)</f>
        <v>0</v>
      </c>
      <c r="G47" s="673">
        <f>IF(Datos!AN15="",0,Datos!AN15)</f>
        <v>0</v>
      </c>
      <c r="I47" s="673">
        <f>IF(Datos!AO15="",0,Datos!AO15)</f>
        <v>0</v>
      </c>
      <c r="J47" s="673">
        <f>IF(Datos!AP15="",0,Datos!AP15)</f>
        <v>0</v>
      </c>
      <c r="K47" s="547">
        <f t="shared" si="2"/>
        <v>0</v>
      </c>
      <c r="M47" s="524"/>
      <c r="N47" s="524"/>
      <c r="O47" s="607" t="str">
        <f>IF(Datos!AQ15="","",Datos!AQ15)</f>
        <v/>
      </c>
      <c r="P47" s="532"/>
    </row>
    <row r="48" spans="2:17" x14ac:dyDescent="0.25">
      <c r="B48" s="605"/>
      <c r="C48" s="531" t="str">
        <f>IF(Datos!AJ16="","",Datos!AJ16)</f>
        <v/>
      </c>
      <c r="D48" s="525" t="str">
        <f>IF(Datos!AK16="","",Datos!AK16)</f>
        <v/>
      </c>
      <c r="E48" s="525" t="str">
        <f>IF(Datos!AL16="","",Datos!AL16)</f>
        <v/>
      </c>
      <c r="F48" s="673">
        <f>IF(Datos!AM16="",0,Datos!AM16)</f>
        <v>0</v>
      </c>
      <c r="G48" s="673">
        <f>IF(Datos!AN16="",0,Datos!AN16)</f>
        <v>0</v>
      </c>
      <c r="I48" s="673">
        <f>IF(Datos!AO16="",0,Datos!AO16)</f>
        <v>0</v>
      </c>
      <c r="J48" s="673">
        <f>IF(Datos!AP16="",0,Datos!AP16)</f>
        <v>0</v>
      </c>
      <c r="K48" s="547">
        <f t="shared" si="2"/>
        <v>0</v>
      </c>
      <c r="M48" s="524"/>
      <c r="N48" s="524"/>
      <c r="O48" s="607" t="str">
        <f>IF(Datos!AQ16="","",Datos!AQ16)</f>
        <v/>
      </c>
      <c r="P48" s="532"/>
    </row>
    <row r="49" spans="2:16" x14ac:dyDescent="0.25">
      <c r="B49" s="605"/>
      <c r="C49" s="531" t="str">
        <f>IF(Datos!AJ17="","",Datos!AJ17)</f>
        <v/>
      </c>
      <c r="D49" s="525" t="str">
        <f>IF(Datos!AK17="","",Datos!AK17)</f>
        <v/>
      </c>
      <c r="E49" s="525" t="str">
        <f>IF(Datos!AL17="","",Datos!AL17)</f>
        <v/>
      </c>
      <c r="F49" s="673">
        <f>IF(Datos!AM17="",0,Datos!AM17)</f>
        <v>0</v>
      </c>
      <c r="G49" s="673">
        <f>IF(Datos!AN17="",0,Datos!AN17)</f>
        <v>0</v>
      </c>
      <c r="I49" s="673">
        <f>IF(Datos!AO17="",0,Datos!AO17)</f>
        <v>0</v>
      </c>
      <c r="J49" s="673">
        <f>IF(Datos!AP17="",0,Datos!AP17)</f>
        <v>0</v>
      </c>
      <c r="K49" s="547">
        <f t="shared" si="2"/>
        <v>0</v>
      </c>
      <c r="M49" s="524"/>
      <c r="N49" s="524"/>
      <c r="O49" s="607" t="str">
        <f>IF(Datos!AQ17="","",Datos!AQ17)</f>
        <v/>
      </c>
      <c r="P49" s="532"/>
    </row>
    <row r="50" spans="2:16" x14ac:dyDescent="0.25">
      <c r="B50" s="605"/>
      <c r="C50" s="531" t="str">
        <f>IF(Datos!AJ18="","",Datos!AJ18)</f>
        <v/>
      </c>
      <c r="D50" s="525" t="str">
        <f>IF(Datos!AK18="","",Datos!AK18)</f>
        <v/>
      </c>
      <c r="E50" s="525" t="str">
        <f>IF(Datos!AL18="","",Datos!AL18)</f>
        <v/>
      </c>
      <c r="F50" s="673">
        <f>IF(Datos!AM18="",0,Datos!AM18)</f>
        <v>0</v>
      </c>
      <c r="G50" s="673">
        <f>IF(Datos!AN18="",0,Datos!AN18)</f>
        <v>0</v>
      </c>
      <c r="I50" s="673">
        <f>IF(Datos!AO18="",0,Datos!AO18)</f>
        <v>0</v>
      </c>
      <c r="J50" s="673">
        <f>IF(Datos!AP18="",0,Datos!AP18)</f>
        <v>0</v>
      </c>
      <c r="K50" s="547">
        <f t="shared" si="2"/>
        <v>0</v>
      </c>
      <c r="M50" s="524"/>
      <c r="N50" s="524"/>
      <c r="O50" s="607" t="str">
        <f>IF(Datos!AQ18="","",Datos!AQ18)</f>
        <v/>
      </c>
      <c r="P50" s="532"/>
    </row>
    <row r="51" spans="2:16" x14ac:dyDescent="0.25">
      <c r="B51" s="605"/>
      <c r="C51" s="531" t="str">
        <f>IF(Datos!AJ19="","",Datos!AJ19)</f>
        <v/>
      </c>
      <c r="D51" s="525" t="str">
        <f>IF(Datos!AK19="","",Datos!AK19)</f>
        <v/>
      </c>
      <c r="E51" s="525" t="str">
        <f>IF(Datos!AL19="","",Datos!AL19)</f>
        <v/>
      </c>
      <c r="F51" s="673">
        <f>IF(Datos!AM19="",0,Datos!AM19)</f>
        <v>0</v>
      </c>
      <c r="G51" s="673">
        <f>IF(Datos!AN19="",0,Datos!AN19)</f>
        <v>0</v>
      </c>
      <c r="I51" s="673">
        <f>IF(Datos!AO19="",0,Datos!AO19)</f>
        <v>0</v>
      </c>
      <c r="J51" s="673">
        <f>IF(Datos!AP19="",0,Datos!AP19)</f>
        <v>0</v>
      </c>
      <c r="K51" s="547">
        <f t="shared" si="2"/>
        <v>0</v>
      </c>
      <c r="M51" s="524"/>
      <c r="N51" s="524"/>
      <c r="O51" s="607" t="str">
        <f>IF(Datos!AQ19="","",Datos!AQ19)</f>
        <v/>
      </c>
      <c r="P51" s="532"/>
    </row>
    <row r="52" spans="2:16" x14ac:dyDescent="0.25">
      <c r="B52" s="605"/>
      <c r="C52" s="531" t="str">
        <f>IF(Datos!AJ20="","",Datos!AJ20)</f>
        <v/>
      </c>
      <c r="D52" s="525" t="str">
        <f>IF(Datos!AK20="","",Datos!AK20)</f>
        <v/>
      </c>
      <c r="E52" s="525" t="str">
        <f>IF(Datos!AL20="","",Datos!AL20)</f>
        <v/>
      </c>
      <c r="F52" s="673">
        <f>IF(Datos!AM20="",0,Datos!AM20)</f>
        <v>0</v>
      </c>
      <c r="G52" s="673">
        <f>IF(Datos!AN20="",0,Datos!AN20)</f>
        <v>0</v>
      </c>
      <c r="I52" s="673">
        <f>IF(Datos!AO20="",0,Datos!AO20)</f>
        <v>0</v>
      </c>
      <c r="J52" s="673">
        <f>IF(Datos!AP20="",0,Datos!AP20)</f>
        <v>0</v>
      </c>
      <c r="K52" s="547">
        <f t="shared" si="2"/>
        <v>0</v>
      </c>
      <c r="M52" s="524"/>
      <c r="N52" s="524"/>
      <c r="O52" s="607" t="str">
        <f>IF(Datos!AQ20="","",Datos!AQ20)</f>
        <v/>
      </c>
      <c r="P52" s="532"/>
    </row>
    <row r="53" spans="2:16" ht="15.75" thickBot="1" x14ac:dyDescent="0.3">
      <c r="B53" s="530"/>
      <c r="C53" s="524"/>
      <c r="D53" s="609"/>
      <c r="E53" s="525"/>
      <c r="F53" s="606"/>
      <c r="G53" s="548"/>
      <c r="H53" s="548"/>
      <c r="I53" s="548"/>
      <c r="J53" s="548"/>
      <c r="K53" s="547"/>
      <c r="M53" s="524"/>
      <c r="N53" s="524"/>
      <c r="O53" s="524"/>
      <c r="P53" s="532"/>
    </row>
    <row r="54" spans="2:16" ht="16.5" thickTop="1" thickBot="1" x14ac:dyDescent="0.3">
      <c r="B54" s="553" t="s">
        <v>320</v>
      </c>
      <c r="C54" s="595"/>
      <c r="D54" s="596"/>
      <c r="E54" s="596"/>
      <c r="F54" s="610">
        <f>SUM(F34:F53)</f>
        <v>0</v>
      </c>
      <c r="G54" s="597"/>
      <c r="H54" s="597"/>
      <c r="I54" s="610">
        <f>SUM(I34:I53)</f>
        <v>0</v>
      </c>
      <c r="J54" s="597">
        <f>SUM(J34:J53)</f>
        <v>0</v>
      </c>
      <c r="K54" s="598">
        <f>SUM(K34:K53)</f>
        <v>0</v>
      </c>
      <c r="L54" s="599"/>
      <c r="M54" s="596"/>
      <c r="N54" s="596"/>
      <c r="O54" s="596"/>
      <c r="P54" s="559"/>
    </row>
    <row r="55" spans="2:16" ht="15.75" thickTop="1" x14ac:dyDescent="0.25">
      <c r="B55" s="611"/>
      <c r="C55" s="601"/>
      <c r="D55" s="612"/>
      <c r="E55" s="613"/>
      <c r="F55" s="614"/>
      <c r="G55" s="601"/>
      <c r="H55" s="615"/>
      <c r="I55" s="616"/>
      <c r="J55" s="616"/>
      <c r="K55" s="602"/>
      <c r="L55" s="613"/>
      <c r="M55" s="601"/>
      <c r="N55" s="601"/>
      <c r="O55" s="601"/>
      <c r="P55" s="617"/>
    </row>
    <row r="56" spans="2:16" x14ac:dyDescent="0.25">
      <c r="B56" s="530"/>
      <c r="C56" s="618" t="s">
        <v>321</v>
      </c>
      <c r="D56" s="524"/>
      <c r="E56" s="524"/>
      <c r="F56" s="524"/>
      <c r="G56" s="524"/>
      <c r="H56" s="619"/>
      <c r="I56" s="524"/>
      <c r="J56" s="620" t="s">
        <v>322</v>
      </c>
      <c r="K56" s="621">
        <f>K16</f>
        <v>0</v>
      </c>
      <c r="M56" s="524"/>
      <c r="N56" s="524"/>
      <c r="O56" s="524"/>
      <c r="P56" s="532"/>
    </row>
    <row r="57" spans="2:16" x14ac:dyDescent="0.25">
      <c r="B57" s="530"/>
      <c r="C57" s="620" t="s">
        <v>323</v>
      </c>
      <c r="D57" s="622">
        <f>K54</f>
        <v>0</v>
      </c>
      <c r="E57" s="524"/>
      <c r="F57" s="524"/>
      <c r="G57" s="524"/>
      <c r="H57" s="619"/>
      <c r="I57" s="524"/>
      <c r="J57" s="620" t="s">
        <v>312</v>
      </c>
      <c r="K57" s="621">
        <f>+K27</f>
        <v>0</v>
      </c>
      <c r="M57" s="524"/>
      <c r="N57" s="524"/>
      <c r="O57" s="524"/>
      <c r="P57" s="532"/>
    </row>
    <row r="58" spans="2:16" x14ac:dyDescent="0.25">
      <c r="B58" s="530"/>
      <c r="C58" s="620" t="s">
        <v>319</v>
      </c>
      <c r="D58" s="621">
        <v>0</v>
      </c>
      <c r="E58" s="524"/>
      <c r="F58" s="524"/>
      <c r="G58" s="524"/>
      <c r="H58" s="619"/>
      <c r="I58" s="524"/>
      <c r="J58" s="623" t="s">
        <v>324</v>
      </c>
      <c r="K58" s="624">
        <f>+K30</f>
        <v>0</v>
      </c>
      <c r="M58" s="524"/>
      <c r="N58" s="524"/>
      <c r="O58" s="524"/>
      <c r="P58" s="532"/>
    </row>
    <row r="59" spans="2:16" x14ac:dyDescent="0.25">
      <c r="B59" s="530"/>
      <c r="C59" s="625" t="s">
        <v>46</v>
      </c>
      <c r="D59" s="626">
        <f>+D57+D58</f>
        <v>0</v>
      </c>
      <c r="E59" s="524"/>
      <c r="F59" s="524"/>
      <c r="G59" s="524"/>
      <c r="H59" s="619"/>
      <c r="I59" s="524"/>
      <c r="J59" s="625" t="s">
        <v>46</v>
      </c>
      <c r="K59" s="627">
        <f>SUM(K56:K58)</f>
        <v>0</v>
      </c>
      <c r="M59" s="524"/>
      <c r="N59" s="524"/>
      <c r="O59" s="524"/>
      <c r="P59" s="532"/>
    </row>
    <row r="60" spans="2:16" x14ac:dyDescent="0.25">
      <c r="B60" s="530"/>
      <c r="C60" s="625"/>
      <c r="D60" s="628"/>
      <c r="E60" s="524"/>
      <c r="F60" s="524"/>
      <c r="G60" s="524"/>
      <c r="H60" s="619"/>
      <c r="I60" s="524"/>
      <c r="J60" s="625"/>
      <c r="K60" s="628"/>
      <c r="M60" s="524"/>
      <c r="N60" s="524"/>
      <c r="O60" s="524"/>
      <c r="P60" s="532"/>
    </row>
    <row r="61" spans="2:16" x14ac:dyDescent="0.25">
      <c r="B61" s="530"/>
      <c r="C61" s="524" t="s">
        <v>325</v>
      </c>
      <c r="D61" s="629">
        <f>+K59-D59</f>
        <v>0</v>
      </c>
      <c r="E61" s="524"/>
      <c r="F61" s="531" t="s">
        <v>326</v>
      </c>
      <c r="G61" s="630">
        <v>0</v>
      </c>
      <c r="H61" s="619"/>
      <c r="I61" s="524"/>
      <c r="J61" s="625"/>
      <c r="K61" s="628"/>
      <c r="M61" s="524"/>
      <c r="N61" s="524"/>
      <c r="O61" s="524"/>
      <c r="P61" s="532"/>
    </row>
    <row r="62" spans="2:16" x14ac:dyDescent="0.25">
      <c r="B62" s="530"/>
      <c r="C62" s="524" t="s">
        <v>327</v>
      </c>
      <c r="D62" s="628">
        <f>+D59+D61</f>
        <v>0</v>
      </c>
      <c r="E62" s="524"/>
      <c r="F62" s="524"/>
      <c r="G62" s="524"/>
      <c r="H62" s="619"/>
      <c r="I62" s="524"/>
      <c r="J62" s="625"/>
      <c r="K62" s="628"/>
      <c r="M62" s="524"/>
      <c r="N62" s="524"/>
      <c r="O62" s="524"/>
      <c r="P62" s="532"/>
    </row>
    <row r="63" spans="2:16" ht="15.75" thickBot="1" x14ac:dyDescent="0.3">
      <c r="B63" s="631"/>
      <c r="C63" s="632"/>
      <c r="D63" s="632"/>
      <c r="E63" s="632"/>
      <c r="F63" s="632"/>
      <c r="G63" s="632"/>
      <c r="H63" s="633"/>
      <c r="I63" s="634"/>
      <c r="J63" s="634"/>
      <c r="K63" s="635"/>
      <c r="L63" s="636"/>
      <c r="M63" s="632"/>
      <c r="N63" s="632"/>
      <c r="O63" s="632"/>
      <c r="P63" s="637"/>
    </row>
    <row r="64" spans="2:16" ht="15.75" thickTop="1" x14ac:dyDescent="0.25">
      <c r="B64" s="638"/>
      <c r="C64" s="639"/>
      <c r="D64" s="640"/>
      <c r="E64" s="641"/>
      <c r="F64" s="642"/>
      <c r="G64" s="639"/>
      <c r="H64" s="643"/>
      <c r="I64" s="644"/>
      <c r="J64" s="644"/>
      <c r="K64" s="644"/>
      <c r="L64" s="641"/>
      <c r="M64" s="639"/>
      <c r="N64" s="639"/>
      <c r="O64" s="639"/>
      <c r="P64" s="645"/>
    </row>
    <row r="65" spans="2:19" x14ac:dyDescent="0.25">
      <c r="B65" s="530"/>
      <c r="C65" s="618" t="s">
        <v>328</v>
      </c>
      <c r="D65" s="646"/>
      <c r="E65" s="646"/>
      <c r="F65" s="646"/>
      <c r="G65" s="524"/>
      <c r="H65" s="647"/>
      <c r="I65" s="618" t="s">
        <v>329</v>
      </c>
      <c r="J65" s="648"/>
      <c r="K65" s="648"/>
      <c r="M65" s="524"/>
      <c r="N65" s="524"/>
      <c r="O65" s="524"/>
      <c r="P65" s="532"/>
    </row>
    <row r="66" spans="2:19" x14ac:dyDescent="0.25">
      <c r="B66" s="530"/>
      <c r="C66" s="618" t="s">
        <v>330</v>
      </c>
      <c r="D66" s="524"/>
      <c r="E66" s="524"/>
      <c r="F66" s="524"/>
      <c r="G66" s="524"/>
      <c r="H66" s="647"/>
      <c r="I66" s="531" t="s">
        <v>331</v>
      </c>
      <c r="J66" s="649"/>
      <c r="K66" s="649"/>
      <c r="L66" s="524"/>
      <c r="M66" s="524"/>
      <c r="N66" s="524"/>
      <c r="O66" s="524"/>
      <c r="P66" s="532"/>
    </row>
    <row r="67" spans="2:19" x14ac:dyDescent="0.25">
      <c r="B67" s="530"/>
      <c r="C67" s="620" t="s">
        <v>4</v>
      </c>
      <c r="D67" s="524"/>
      <c r="E67" s="524"/>
      <c r="F67" s="674">
        <f>Datos!B36</f>
        <v>0</v>
      </c>
      <c r="G67" s="524"/>
      <c r="H67" s="650"/>
      <c r="I67" s="531" t="s">
        <v>332</v>
      </c>
      <c r="J67" s="651"/>
      <c r="L67" s="524"/>
      <c r="M67" s="524"/>
      <c r="N67" s="524"/>
      <c r="O67" s="524"/>
      <c r="P67" s="532"/>
    </row>
    <row r="68" spans="2:19" x14ac:dyDescent="0.25">
      <c r="B68" s="530"/>
      <c r="C68" s="620" t="s">
        <v>333</v>
      </c>
      <c r="D68" s="524"/>
      <c r="E68" s="524"/>
      <c r="F68" s="674">
        <f>Datos!B91</f>
        <v>0</v>
      </c>
      <c r="G68" s="524" t="s">
        <v>334</v>
      </c>
      <c r="H68" s="650"/>
      <c r="I68" s="531" t="s">
        <v>335</v>
      </c>
      <c r="J68" s="621">
        <f>+D62</f>
        <v>0</v>
      </c>
      <c r="L68" s="524"/>
      <c r="M68" s="524"/>
      <c r="N68" s="524"/>
      <c r="O68" s="524"/>
      <c r="P68" s="532"/>
    </row>
    <row r="69" spans="2:19" x14ac:dyDescent="0.25">
      <c r="B69" s="530"/>
      <c r="C69" s="652" t="s">
        <v>336</v>
      </c>
      <c r="D69" s="524"/>
      <c r="E69" s="524"/>
      <c r="F69" s="675" t="str">
        <f>IF(Datos!B90="","",Datos!B90)</f>
        <v/>
      </c>
      <c r="G69" s="524"/>
      <c r="H69" s="650"/>
      <c r="I69" s="531"/>
      <c r="J69" s="524"/>
      <c r="L69" s="524"/>
      <c r="M69" s="524"/>
      <c r="N69" s="524"/>
      <c r="O69" s="524"/>
      <c r="P69" s="532"/>
    </row>
    <row r="70" spans="2:19" x14ac:dyDescent="0.25">
      <c r="B70" s="530"/>
      <c r="C70" s="652" t="s">
        <v>337</v>
      </c>
      <c r="D70" s="524"/>
      <c r="E70" s="524"/>
      <c r="F70" s="573" t="s">
        <v>191</v>
      </c>
      <c r="G70" s="524"/>
      <c r="H70" s="647"/>
      <c r="I70" s="618" t="s">
        <v>338</v>
      </c>
      <c r="J70" s="524"/>
      <c r="L70" s="524"/>
      <c r="M70" s="524"/>
      <c r="N70" s="524"/>
      <c r="O70" s="524"/>
      <c r="P70" s="532"/>
      <c r="S70" s="621"/>
    </row>
    <row r="71" spans="2:19" x14ac:dyDescent="0.25">
      <c r="B71" s="530"/>
      <c r="C71" s="652" t="s">
        <v>339</v>
      </c>
      <c r="D71" s="524"/>
      <c r="E71" s="524"/>
      <c r="F71" s="573" t="s">
        <v>191</v>
      </c>
      <c r="G71" s="524"/>
      <c r="H71" s="647"/>
      <c r="I71" s="653"/>
      <c r="J71" s="524"/>
      <c r="L71" s="524"/>
      <c r="M71" s="524"/>
      <c r="N71" s="524"/>
      <c r="O71" s="524"/>
      <c r="P71" s="532"/>
    </row>
    <row r="72" spans="2:19" x14ac:dyDescent="0.25">
      <c r="B72" s="530"/>
      <c r="C72" s="652" t="s">
        <v>340</v>
      </c>
      <c r="D72" s="524"/>
      <c r="E72" s="524"/>
      <c r="F72" s="573"/>
      <c r="G72" s="524"/>
      <c r="H72" s="647"/>
      <c r="I72" s="524"/>
      <c r="J72" s="524"/>
      <c r="L72" s="524"/>
      <c r="M72" s="524"/>
      <c r="N72" s="524"/>
      <c r="O72" s="524"/>
      <c r="P72" s="532"/>
    </row>
    <row r="73" spans="2:19" x14ac:dyDescent="0.25">
      <c r="B73" s="530"/>
      <c r="C73" s="652" t="s">
        <v>341</v>
      </c>
      <c r="D73" s="524"/>
      <c r="E73" s="524"/>
      <c r="F73" s="573"/>
      <c r="G73" s="524"/>
      <c r="H73" s="647"/>
      <c r="I73" s="618" t="s">
        <v>342</v>
      </c>
      <c r="J73" s="524"/>
      <c r="L73" s="524"/>
      <c r="M73" s="524"/>
      <c r="N73" s="524"/>
      <c r="O73" s="524"/>
      <c r="P73" s="532"/>
    </row>
    <row r="74" spans="2:19" x14ac:dyDescent="0.25">
      <c r="B74" s="530"/>
      <c r="C74" s="654" t="s">
        <v>343</v>
      </c>
      <c r="D74" s="524"/>
      <c r="E74" s="524"/>
      <c r="F74" s="573"/>
      <c r="G74" s="524"/>
      <c r="H74" s="647"/>
      <c r="I74" s="655"/>
      <c r="J74" s="524"/>
      <c r="L74" s="524"/>
      <c r="M74" s="524"/>
      <c r="N74" s="524"/>
      <c r="O74" s="524"/>
      <c r="P74" s="532"/>
    </row>
    <row r="75" spans="2:19" x14ac:dyDescent="0.25">
      <c r="B75" s="530"/>
      <c r="C75" s="654" t="s">
        <v>344</v>
      </c>
      <c r="D75" s="524"/>
      <c r="E75" s="524"/>
      <c r="F75" s="676"/>
      <c r="G75" s="524"/>
      <c r="H75" s="647"/>
      <c r="I75" s="524"/>
      <c r="J75" s="524"/>
      <c r="M75" s="524"/>
      <c r="N75" s="524"/>
      <c r="O75" s="524"/>
      <c r="P75" s="532"/>
    </row>
    <row r="76" spans="2:19" x14ac:dyDescent="0.25">
      <c r="B76" s="530"/>
      <c r="C76" s="618" t="s">
        <v>345</v>
      </c>
      <c r="D76" s="524"/>
      <c r="E76" s="524"/>
      <c r="F76" s="573"/>
      <c r="G76" s="524"/>
      <c r="H76" s="647"/>
      <c r="I76" s="618" t="s">
        <v>346</v>
      </c>
      <c r="J76" s="524"/>
      <c r="M76" s="524"/>
      <c r="N76" s="524"/>
      <c r="O76" s="524"/>
      <c r="P76" s="532"/>
    </row>
    <row r="77" spans="2:19" x14ac:dyDescent="0.25">
      <c r="B77" s="530"/>
      <c r="C77" s="524" t="s">
        <v>1</v>
      </c>
      <c r="D77" s="573">
        <f>+F8</f>
        <v>0</v>
      </c>
      <c r="E77" s="524"/>
      <c r="F77" s="524"/>
      <c r="G77" s="524"/>
      <c r="H77" s="647"/>
      <c r="I77" s="656" t="s">
        <v>363</v>
      </c>
      <c r="J77" s="524"/>
      <c r="L77" s="524"/>
      <c r="M77" s="524"/>
      <c r="N77" s="524"/>
      <c r="O77" s="524"/>
      <c r="P77" s="532"/>
    </row>
    <row r="78" spans="2:19" x14ac:dyDescent="0.25">
      <c r="B78" s="530"/>
      <c r="C78" s="524" t="s">
        <v>347</v>
      </c>
      <c r="D78" s="657">
        <f>+F9</f>
        <v>0</v>
      </c>
      <c r="E78" s="524"/>
      <c r="F78" s="524"/>
      <c r="G78" s="524"/>
      <c r="H78" s="647"/>
      <c r="I78" s="524" t="s">
        <v>348</v>
      </c>
      <c r="J78" s="573">
        <f>Datos!B11</f>
        <v>0</v>
      </c>
      <c r="L78" s="524"/>
      <c r="M78" s="524"/>
      <c r="N78" s="524"/>
      <c r="O78" s="524"/>
      <c r="P78" s="532"/>
    </row>
    <row r="79" spans="2:19" x14ac:dyDescent="0.25">
      <c r="B79" s="530"/>
      <c r="C79" s="524" t="s">
        <v>349</v>
      </c>
      <c r="D79" s="658"/>
      <c r="E79" s="524"/>
      <c r="F79" s="524"/>
      <c r="G79" s="524"/>
      <c r="H79" s="647"/>
      <c r="I79" s="524" t="s">
        <v>350</v>
      </c>
      <c r="J79" s="676">
        <f>Datos!B3</f>
        <v>0</v>
      </c>
      <c r="L79" s="524"/>
      <c r="M79" s="524"/>
      <c r="N79" s="524"/>
      <c r="O79" s="524"/>
      <c r="P79" s="532"/>
    </row>
    <row r="80" spans="2:19" x14ac:dyDescent="0.25">
      <c r="B80" s="530"/>
      <c r="C80" s="524" t="s">
        <v>351</v>
      </c>
      <c r="D80" s="659"/>
      <c r="E80" s="524"/>
      <c r="F80" s="524"/>
      <c r="G80" s="524"/>
      <c r="H80" s="647"/>
      <c r="I80" s="573" t="s">
        <v>352</v>
      </c>
      <c r="J80" s="676"/>
      <c r="L80" s="524"/>
      <c r="M80" s="524"/>
      <c r="N80" s="524"/>
      <c r="O80" s="524"/>
      <c r="P80" s="532"/>
    </row>
    <row r="81" spans="2:16" ht="15.75" thickBot="1" x14ac:dyDescent="0.3">
      <c r="B81" s="631"/>
      <c r="C81" s="632"/>
      <c r="D81" s="632"/>
      <c r="E81" s="632"/>
      <c r="F81" s="632"/>
      <c r="G81" s="632"/>
      <c r="H81" s="660"/>
      <c r="I81" s="632"/>
      <c r="J81" s="632"/>
      <c r="K81" s="632"/>
      <c r="L81" s="636"/>
      <c r="M81" s="632"/>
      <c r="N81" s="632"/>
      <c r="O81" s="632"/>
      <c r="P81" s="637"/>
    </row>
    <row r="82" spans="2:16" ht="15.75" thickTop="1" x14ac:dyDescent="0.25"/>
    <row r="83" spans="2:16" x14ac:dyDescent="0.25">
      <c r="G83" s="661"/>
      <c r="H83" s="661"/>
      <c r="K83" s="523"/>
      <c r="L83" s="523"/>
    </row>
    <row r="91" spans="2:16" x14ac:dyDescent="0.25">
      <c r="K91" s="523"/>
      <c r="L91" s="523"/>
    </row>
  </sheetData>
  <mergeCells count="1">
    <mergeCell ref="C13:C15"/>
  </mergeCells>
  <dataValidations count="1">
    <dataValidation allowBlank="1" showInputMessage="1" showErrorMessage="1" promptTitle="Clasificacion" prompt="1  Solic.              9  En firmas_x000a_ 2  No inic.        10 En ejecución_x000a_ 3  En prepar.    11 Terminado_x000a_ 4  En licit.         12 En cierre_x000a_ 5  En eval.         13 Cerrado_x000a_ 6  En negoc.     14 Suspen._x000a_ 7  Adjudicado  15 Anul._x000a_ 8  En emisión   16 Difer._x000a_" sqref="I77"/>
  </dataValidations>
  <pageMargins left="0.7" right="0.7" top="0.75" bottom="0.75" header="0.3" footer="0.3"/>
  <pageSetup scale="36" orientation="portrait" r:id="rId1"/>
  <colBreaks count="1" manualBreakCount="1">
    <brk id="1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L64"/>
  <sheetViews>
    <sheetView tabSelected="1" view="pageBreakPreview" zoomScale="90" zoomScaleNormal="90" zoomScaleSheetLayoutView="90" workbookViewId="0">
      <selection activeCell="D15" sqref="D15"/>
    </sheetView>
  </sheetViews>
  <sheetFormatPr baseColWidth="10" defaultRowHeight="15.75" x14ac:dyDescent="0.25"/>
  <cols>
    <col min="1" max="1" width="5.5703125" style="30" customWidth="1"/>
    <col min="2" max="2" width="31.42578125" style="30" customWidth="1"/>
    <col min="3" max="3" width="32.42578125" style="30" customWidth="1"/>
    <col min="4" max="4" width="30.28515625" style="30" customWidth="1"/>
    <col min="5" max="5" width="35.42578125" style="30" bestFit="1" customWidth="1"/>
    <col min="6" max="6" width="23" style="30" customWidth="1"/>
    <col min="7" max="7" width="11.42578125" style="30"/>
    <col min="8" max="9" width="12.42578125" style="30" customWidth="1"/>
    <col min="10" max="10" width="26.42578125" style="30" customWidth="1"/>
    <col min="11" max="11" width="30.7109375" style="30" customWidth="1"/>
    <col min="12" max="12" width="23.42578125" style="30" customWidth="1"/>
    <col min="13" max="15" width="12.42578125" style="30" customWidth="1"/>
    <col min="16" max="16384" width="11.42578125" style="30"/>
  </cols>
  <sheetData>
    <row r="1" spans="1:12" ht="40.5" customHeight="1" x14ac:dyDescent="0.35">
      <c r="A1" s="683" t="s">
        <v>364</v>
      </c>
      <c r="B1" s="684"/>
      <c r="C1" s="684"/>
      <c r="D1" s="684"/>
      <c r="E1" s="684"/>
      <c r="F1" s="684"/>
      <c r="J1" s="30" t="s">
        <v>21</v>
      </c>
    </row>
    <row r="2" spans="1:12" x14ac:dyDescent="0.25">
      <c r="A2" s="31"/>
      <c r="B2" s="32"/>
      <c r="C2" s="32"/>
      <c r="D2" s="32"/>
      <c r="E2" s="32" t="s">
        <v>17</v>
      </c>
      <c r="F2" s="33">
        <f ca="1">'EDP Dev Retenciones'!P5</f>
        <v>43043</v>
      </c>
    </row>
    <row r="3" spans="1:12" x14ac:dyDescent="0.25">
      <c r="A3" s="31"/>
      <c r="B3" s="34"/>
      <c r="C3" s="35"/>
      <c r="D3" s="35"/>
      <c r="E3" s="35"/>
      <c r="F3" s="36"/>
      <c r="J3" s="30" t="str">
        <f>CHAR(64+10+(C21-1)*6)&amp;(24)&amp;":"&amp;CHAR(64+10+(C21)*6)&amp;(105)</f>
        <v>D24:J105</v>
      </c>
    </row>
    <row r="4" spans="1:12" x14ac:dyDescent="0.25">
      <c r="A4" s="31"/>
      <c r="B4" s="31"/>
      <c r="C4" s="31"/>
      <c r="D4" s="31"/>
      <c r="E4" s="32" t="s">
        <v>22</v>
      </c>
      <c r="F4" s="37">
        <v>680</v>
      </c>
      <c r="J4" s="30" t="str">
        <f>CHAR(64+10+(C21-1)*6)&amp;(24)&amp;":"&amp;CHAR(64+15+(C21-1)*6)&amp;(141)</f>
        <v>D24:I141</v>
      </c>
    </row>
    <row r="5" spans="1:12" x14ac:dyDescent="0.25">
      <c r="A5" s="38" t="s">
        <v>23</v>
      </c>
      <c r="B5" s="31"/>
      <c r="C5" s="31"/>
      <c r="D5" s="31"/>
      <c r="E5" s="32"/>
      <c r="F5" s="37"/>
      <c r="H5" s="30" t="s">
        <v>25</v>
      </c>
      <c r="J5" s="30" t="e">
        <f ca="1">LETRACOLUMNA(10+(C21-1)*6)&amp;(24)&amp;":"&amp;LETRACOLUMNA(15+(C21-1)*6)&amp;(141)</f>
        <v>#NAME?</v>
      </c>
    </row>
    <row r="6" spans="1:12" x14ac:dyDescent="0.25">
      <c r="A6" s="31"/>
      <c r="B6" s="39" t="s">
        <v>26</v>
      </c>
      <c r="C6" s="31">
        <f>Datos!B7</f>
        <v>0</v>
      </c>
      <c r="D6" s="31"/>
      <c r="E6" s="32"/>
      <c r="F6" s="37"/>
      <c r="I6" s="30" t="s">
        <v>27</v>
      </c>
      <c r="J6" s="30" t="e">
        <f ca="1">LETRACOLUMNA(27)</f>
        <v>#NAME?</v>
      </c>
      <c r="L6" s="30" t="e">
        <f ca="1">F3&amp;"'!"&amp;LETRACOLUMNA(10+(C21-1)*6)&amp;(24)&amp;":"&amp;LETRACOLUMNA(15+(C21-1)*6)&amp;(141)</f>
        <v>#NAME?</v>
      </c>
    </row>
    <row r="7" spans="1:12" x14ac:dyDescent="0.25">
      <c r="A7" s="38"/>
      <c r="B7" s="40" t="s">
        <v>28</v>
      </c>
      <c r="C7" s="41">
        <f>Datos!B3</f>
        <v>0</v>
      </c>
      <c r="D7" s="31"/>
      <c r="E7" s="32"/>
      <c r="F7" s="37"/>
      <c r="J7" s="30" t="e">
        <f ca="1">LETRACOLUMNA(10+(C21-1)*6)</f>
        <v>#NAME?</v>
      </c>
    </row>
    <row r="8" spans="1:12" x14ac:dyDescent="0.25">
      <c r="A8" s="31"/>
      <c r="B8" s="39"/>
      <c r="C8" s="42"/>
      <c r="D8" s="43"/>
      <c r="E8" s="44"/>
      <c r="F8" s="45"/>
      <c r="J8" s="30" t="e">
        <f ca="1">INDEX(INDIRECT("'"&amp;F3&amp;"'!"&amp;LETRACOLUMNA(10+(C21-1)*6)&amp;(24)&amp;":"&amp;LETRACOLUMNA(9+(C21-1)*6)&amp;(141)),1,1)</f>
        <v>#NAME?</v>
      </c>
    </row>
    <row r="9" spans="1:12" x14ac:dyDescent="0.25">
      <c r="A9" s="31"/>
      <c r="B9" s="40" t="s">
        <v>29</v>
      </c>
      <c r="C9" s="685">
        <f>Datos!B20</f>
        <v>0</v>
      </c>
      <c r="D9" s="686"/>
      <c r="E9" s="686"/>
      <c r="F9" s="687"/>
    </row>
    <row r="10" spans="1:12" x14ac:dyDescent="0.25">
      <c r="A10" s="31"/>
      <c r="B10" s="40" t="s">
        <v>30</v>
      </c>
      <c r="C10" s="31">
        <f>Datos!B21</f>
        <v>0</v>
      </c>
      <c r="D10" s="46"/>
      <c r="E10" s="39" t="s">
        <v>31</v>
      </c>
      <c r="F10" s="47">
        <f>Datos!B36</f>
        <v>0</v>
      </c>
    </row>
    <row r="11" spans="1:12" x14ac:dyDescent="0.25">
      <c r="A11" s="31"/>
      <c r="B11" s="40" t="s">
        <v>32</v>
      </c>
      <c r="C11" s="41"/>
      <c r="D11" s="46"/>
      <c r="E11" s="39" t="s">
        <v>33</v>
      </c>
      <c r="F11" s="48">
        <f>Datos!B38</f>
        <v>0</v>
      </c>
    </row>
    <row r="12" spans="1:12" x14ac:dyDescent="0.25">
      <c r="A12" s="31"/>
      <c r="B12" s="31"/>
      <c r="C12" s="31"/>
      <c r="D12" s="46"/>
      <c r="E12" s="46"/>
      <c r="F12" s="46"/>
    </row>
    <row r="13" spans="1:12" x14ac:dyDescent="0.25">
      <c r="A13" s="31"/>
      <c r="B13" s="31"/>
      <c r="C13" s="31"/>
      <c r="D13" s="31"/>
      <c r="E13" s="40" t="s">
        <v>34</v>
      </c>
      <c r="F13" s="49" t="str">
        <f>IF(Datos!B90="","",Datos!B90)</f>
        <v/>
      </c>
    </row>
    <row r="14" spans="1:12" x14ac:dyDescent="0.25">
      <c r="A14" s="38" t="s">
        <v>35</v>
      </c>
      <c r="B14" s="31"/>
      <c r="C14" s="31"/>
      <c r="D14" s="31"/>
      <c r="E14" s="31"/>
      <c r="F14" s="50"/>
    </row>
    <row r="15" spans="1:12" x14ac:dyDescent="0.25">
      <c r="A15" s="38"/>
      <c r="B15" s="31"/>
      <c r="C15" s="31"/>
      <c r="D15" s="31"/>
      <c r="E15" s="31"/>
      <c r="F15" s="31"/>
    </row>
    <row r="16" spans="1:12" x14ac:dyDescent="0.25">
      <c r="A16" s="31"/>
      <c r="B16" s="31"/>
      <c r="C16" s="31"/>
      <c r="D16" s="31"/>
      <c r="E16" s="39" t="str">
        <f>"MONTO ORIGINAL CONTRATO ("&amp;C25&amp;")"</f>
        <v>MONTO ORIGINAL CONTRATO (0)</v>
      </c>
      <c r="F16" s="51">
        <f>Datos!B43</f>
        <v>0</v>
      </c>
      <c r="J16" s="30" t="s">
        <v>36</v>
      </c>
      <c r="K16" s="30" t="s">
        <v>37</v>
      </c>
    </row>
    <row r="17" spans="1:12" x14ac:dyDescent="0.25">
      <c r="A17" s="31"/>
      <c r="B17" s="31"/>
      <c r="C17" s="31"/>
      <c r="D17" s="52"/>
      <c r="E17" s="39" t="str">
        <f>"VALOR MODIFICACIÓNES ("&amp;C25&amp;")"</f>
        <v>VALOR MODIFICACIÓNES (0)</v>
      </c>
      <c r="F17" s="51">
        <f>Datos!B89</f>
        <v>0</v>
      </c>
      <c r="I17" s="30">
        <v>132</v>
      </c>
      <c r="J17" s="53" t="e">
        <f ca="1">INDIRECT("'"&amp;$F$3&amp;"'!I"&amp;(I17))</f>
        <v>#REF!</v>
      </c>
      <c r="K17" s="53" t="e">
        <f t="shared" ref="K17:K26" ca="1" si="0">INDEX(INDIRECT("'"&amp;$F$3&amp;"'!"&amp;LETRACOLUMNA(10+($C$21-1)*6)&amp;(24)&amp;":"&amp;LETRACOLUMNA(15+($C$21-1)*6)&amp;(141)),I17-23,2)</f>
        <v>#NAME?</v>
      </c>
    </row>
    <row r="18" spans="1:12" x14ac:dyDescent="0.25">
      <c r="A18" s="31"/>
      <c r="B18" s="31"/>
      <c r="C18" s="31"/>
      <c r="D18" s="31"/>
      <c r="E18" s="39" t="str">
        <f>"VALOR ACTUAL DEL CONTRATO ("&amp;C25&amp;")"</f>
        <v>VALOR ACTUAL DEL CONTRATO (0)</v>
      </c>
      <c r="F18" s="54">
        <f>F16+F17</f>
        <v>0</v>
      </c>
      <c r="I18" s="30">
        <v>133</v>
      </c>
      <c r="J18" s="53" t="e">
        <f t="shared" ref="J18:J26" ca="1" si="1">INDIRECT("'"&amp;$F$3&amp;"'!I"&amp;(I18))</f>
        <v>#REF!</v>
      </c>
      <c r="K18" s="53" t="e">
        <f t="shared" ca="1" si="0"/>
        <v>#NAME?</v>
      </c>
    </row>
    <row r="19" spans="1:12" x14ac:dyDescent="0.25">
      <c r="A19" s="31"/>
      <c r="B19" s="31"/>
      <c r="C19" s="31"/>
      <c r="D19" s="31"/>
      <c r="E19" s="39"/>
      <c r="F19" s="55"/>
      <c r="I19" s="30">
        <v>134</v>
      </c>
      <c r="J19" s="53" t="e">
        <f t="shared" ca="1" si="1"/>
        <v>#REF!</v>
      </c>
      <c r="K19" s="53" t="e">
        <f t="shared" ca="1" si="0"/>
        <v>#NAME?</v>
      </c>
    </row>
    <row r="20" spans="1:12" x14ac:dyDescent="0.25">
      <c r="A20" s="38" t="s">
        <v>38</v>
      </c>
      <c r="B20" s="31"/>
      <c r="C20" s="31"/>
      <c r="D20" s="31"/>
      <c r="E20" s="39"/>
      <c r="F20" s="55"/>
      <c r="I20" s="30">
        <v>135</v>
      </c>
      <c r="J20" s="53" t="e">
        <f t="shared" ca="1" si="1"/>
        <v>#REF!</v>
      </c>
      <c r="K20" s="53" t="e">
        <f t="shared" ca="1" si="0"/>
        <v>#NAME?</v>
      </c>
    </row>
    <row r="21" spans="1:12" x14ac:dyDescent="0.25">
      <c r="A21" s="38"/>
      <c r="B21" s="31" t="s">
        <v>39</v>
      </c>
      <c r="C21" s="56"/>
      <c r="D21" s="31"/>
      <c r="E21" s="57" t="str">
        <f>"VALOR  DEVOLUCIÓN RETENCIONES ("&amp;C25&amp;")"</f>
        <v>VALOR  DEVOLUCIÓN RETENCIONES (0)</v>
      </c>
      <c r="F21" s="58">
        <f>'EDP Dev Retenciones'!Q120</f>
        <v>0</v>
      </c>
      <c r="I21" s="30">
        <v>136</v>
      </c>
      <c r="J21" s="53" t="e">
        <f t="shared" ca="1" si="1"/>
        <v>#REF!</v>
      </c>
      <c r="K21" s="53" t="e">
        <f t="shared" ca="1" si="0"/>
        <v>#NAME?</v>
      </c>
    </row>
    <row r="22" spans="1:12" x14ac:dyDescent="0.25">
      <c r="A22" s="31"/>
      <c r="B22" s="31" t="s">
        <v>40</v>
      </c>
      <c r="C22" s="59" t="str">
        <f>"EDP"&amp;Datos!B85</f>
        <v>EDP</v>
      </c>
      <c r="D22" s="31"/>
      <c r="E22" s="40" t="str">
        <f>"REAJUSTES ("&amp;C25&amp;")"</f>
        <v>REAJUSTES (0)</v>
      </c>
      <c r="F22" s="60">
        <v>0</v>
      </c>
      <c r="I22" s="30">
        <v>137</v>
      </c>
      <c r="J22" s="53" t="e">
        <f t="shared" ca="1" si="1"/>
        <v>#REF!</v>
      </c>
      <c r="K22" s="53" t="e">
        <f t="shared" ca="1" si="0"/>
        <v>#NAME?</v>
      </c>
    </row>
    <row r="23" spans="1:12" x14ac:dyDescent="0.25">
      <c r="A23" s="31"/>
      <c r="B23" s="31" t="s">
        <v>41</v>
      </c>
      <c r="C23" s="61">
        <f>'EDP Dev Retenciones'!O7</f>
        <v>0</v>
      </c>
      <c r="D23" s="62"/>
      <c r="E23" s="40" t="str">
        <f>"RETENCIONES EDP ("&amp;C25&amp;")"</f>
        <v>RETENCIONES EDP (0)</v>
      </c>
      <c r="F23" s="63">
        <v>0</v>
      </c>
      <c r="I23" s="30">
        <v>138</v>
      </c>
      <c r="J23" s="53" t="e">
        <f t="shared" ca="1" si="1"/>
        <v>#REF!</v>
      </c>
      <c r="K23" s="53" t="e">
        <f t="shared" ca="1" si="0"/>
        <v>#NAME?</v>
      </c>
    </row>
    <row r="24" spans="1:12" x14ac:dyDescent="0.25">
      <c r="A24" s="31"/>
      <c r="B24" s="31" t="s">
        <v>42</v>
      </c>
      <c r="C24" s="61">
        <f>'EDP Dev Retenciones'!Q7</f>
        <v>0</v>
      </c>
      <c r="D24" s="62"/>
      <c r="E24" s="40"/>
      <c r="F24" s="63"/>
      <c r="I24" s="30">
        <v>139</v>
      </c>
      <c r="J24" s="53" t="e">
        <f t="shared" ca="1" si="1"/>
        <v>#REF!</v>
      </c>
      <c r="K24" s="53" t="e">
        <f t="shared" ca="1" si="0"/>
        <v>#NAME?</v>
      </c>
    </row>
    <row r="25" spans="1:12" x14ac:dyDescent="0.25">
      <c r="A25" s="31"/>
      <c r="B25" s="62" t="s">
        <v>43</v>
      </c>
      <c r="C25" s="64">
        <f>Datos!B42</f>
        <v>0</v>
      </c>
      <c r="D25" s="31"/>
      <c r="E25" s="40" t="str">
        <f>"RETENCIONES ACUMULADAS ("&amp;C25&amp;")"</f>
        <v>RETENCIONES ACUMULADAS (0)</v>
      </c>
      <c r="F25" s="65">
        <v>0</v>
      </c>
      <c r="I25" s="30">
        <v>140</v>
      </c>
      <c r="J25" s="53" t="e">
        <f t="shared" ca="1" si="1"/>
        <v>#REF!</v>
      </c>
      <c r="K25" s="53" t="e">
        <f t="shared" ca="1" si="0"/>
        <v>#NAME?</v>
      </c>
    </row>
    <row r="26" spans="1:12" x14ac:dyDescent="0.25">
      <c r="A26" s="31"/>
      <c r="B26" s="62" t="s">
        <v>44</v>
      </c>
      <c r="C26" s="59">
        <v>1</v>
      </c>
      <c r="D26" s="31"/>
      <c r="E26" s="40" t="str">
        <f>"VALOR NETO EDP ("&amp;C25&amp;")"</f>
        <v>VALOR NETO EDP (0)</v>
      </c>
      <c r="F26" s="66">
        <f>F21</f>
        <v>0</v>
      </c>
      <c r="I26" s="30">
        <v>141</v>
      </c>
      <c r="J26" s="53" t="e">
        <f t="shared" ca="1" si="1"/>
        <v>#REF!</v>
      </c>
      <c r="K26" s="53" t="e">
        <f t="shared" ca="1" si="0"/>
        <v>#NAME?</v>
      </c>
    </row>
    <row r="27" spans="1:12" x14ac:dyDescent="0.25">
      <c r="A27" s="31"/>
      <c r="B27" s="62" t="s">
        <v>45</v>
      </c>
      <c r="C27" s="59">
        <f>Datos!B45</f>
        <v>0</v>
      </c>
      <c r="D27" s="31"/>
      <c r="E27" s="67" t="str">
        <f>IF(C25="CLP","","VALOR NETO EDP (CLP)")</f>
        <v>VALOR NETO EDP (CLP)</v>
      </c>
      <c r="F27" s="68">
        <f>F26*C26</f>
        <v>0</v>
      </c>
      <c r="J27" s="30" t="s">
        <v>46</v>
      </c>
      <c r="K27" s="69" t="e">
        <f ca="1">SUM(K17:K26)</f>
        <v>#NAME?</v>
      </c>
      <c r="L27" s="70" t="e">
        <f ca="1">IF((K27-F26)&lt;0.5,"Ok","No Ok")</f>
        <v>#NAME?</v>
      </c>
    </row>
    <row r="28" spans="1:12" x14ac:dyDescent="0.25">
      <c r="A28" s="31"/>
      <c r="B28" s="62"/>
      <c r="C28" s="62"/>
      <c r="D28" s="31"/>
      <c r="E28" s="67"/>
      <c r="F28" s="67"/>
    </row>
    <row r="29" spans="1:12" x14ac:dyDescent="0.25">
      <c r="A29" s="31"/>
      <c r="B29" s="71" t="s">
        <v>47</v>
      </c>
      <c r="C29" s="72"/>
      <c r="D29" s="73"/>
      <c r="E29" s="74" t="s">
        <v>48</v>
      </c>
      <c r="F29" s="75">
        <f>IF(C25="CLP",F26/F4,IF(C25="UF",F26*C26/F4,F26))</f>
        <v>0</v>
      </c>
    </row>
    <row r="30" spans="1:12" x14ac:dyDescent="0.25">
      <c r="A30" s="31"/>
      <c r="B30" s="55"/>
      <c r="C30" s="31"/>
      <c r="D30" s="62"/>
      <c r="E30" s="76"/>
      <c r="F30" s="76"/>
    </row>
    <row r="31" spans="1:12" x14ac:dyDescent="0.25">
      <c r="A31" s="31"/>
      <c r="B31" s="31"/>
      <c r="C31" s="31"/>
      <c r="D31" s="31"/>
      <c r="E31" s="77" t="str">
        <f>"ACUMULADO PERÍODO ANTERIOR ("&amp;C25&amp;")"</f>
        <v>ACUMULADO PERÍODO ANTERIOR (0)</v>
      </c>
      <c r="F31" s="78">
        <f>Datos!B88</f>
        <v>0</v>
      </c>
    </row>
    <row r="32" spans="1:12" x14ac:dyDescent="0.25">
      <c r="A32" s="31"/>
      <c r="B32" s="31"/>
      <c r="C32" s="31"/>
      <c r="D32" s="31"/>
      <c r="E32" s="77" t="str">
        <f>"SALDO CONTRATO(Sin incluir Ret EDP) ("&amp;C25&amp;")"</f>
        <v>SALDO CONTRATO(Sin incluir Ret EDP) (0)</v>
      </c>
      <c r="F32" s="79"/>
    </row>
    <row r="33" spans="1:12" ht="15" customHeight="1" x14ac:dyDescent="0.25">
      <c r="A33" s="31"/>
      <c r="B33" s="31"/>
      <c r="C33" s="80"/>
      <c r="D33" s="80"/>
      <c r="E33" s="77"/>
      <c r="F33" s="77"/>
      <c r="J33" s="30" t="s">
        <v>49</v>
      </c>
    </row>
    <row r="34" spans="1:12" ht="26.25" x14ac:dyDescent="0.25">
      <c r="A34" s="31"/>
      <c r="B34" s="80"/>
      <c r="C34" s="80"/>
      <c r="D34" s="688" t="s">
        <v>50</v>
      </c>
      <c r="E34" s="81" t="s">
        <v>51</v>
      </c>
      <c r="F34" s="82">
        <f>F31</f>
        <v>0</v>
      </c>
      <c r="K34" s="83" t="s">
        <v>52</v>
      </c>
      <c r="L34" s="84" t="str">
        <f>"Monto Avance ( "&amp;C25&amp;" ) Últimos 6 Estados de Pagos"</f>
        <v>Monto Avance ( 0 ) Últimos 6 Estados de Pagos</v>
      </c>
    </row>
    <row r="35" spans="1:12" x14ac:dyDescent="0.25">
      <c r="A35" s="31"/>
      <c r="B35" s="31"/>
      <c r="C35" s="31"/>
      <c r="D35" s="688"/>
      <c r="E35" s="81" t="s">
        <v>53</v>
      </c>
      <c r="F35" s="85" t="e">
        <f>F34/(F18)</f>
        <v>#DIV/0!</v>
      </c>
      <c r="I35" s="30">
        <v>6</v>
      </c>
      <c r="J35" s="30" t="str">
        <f t="shared" ref="J35:J40" si="2">IF(C$21-I35&gt;0,"EDP"&amp;C$21-I35,"")</f>
        <v/>
      </c>
      <c r="K35" s="83" t="str">
        <f t="shared" ref="K35:K41" ca="1" si="3">IF(J35&lt;&gt;"",J35&amp;" ("&amp;TEXT(INDEX(INDIRECT("'"&amp;$F$3&amp;"'!"&amp;LETRACOLUMNA(10+(C$21-1-I35)*6)&amp;(24)&amp;":"&amp;LETRACOLUMNA(15+(C$21-1-I35)*6)&amp;(141)),2,2),"[$-409]mmm")&amp;" )","")</f>
        <v/>
      </c>
      <c r="L35" s="84" t="str">
        <f t="shared" ref="L35:L41" ca="1" si="4">IF(J35&lt;&gt;"",INDEX(INDIRECT("'"&amp;$F$3&amp;"'!"&amp;LETRACOLUMNA(10+(C$21-1-I35)*6)&amp;(24)&amp;":"&amp;LETRACOLUMNA(15+(C$21-1-I35)*6)&amp;(141)),80,2),"")</f>
        <v/>
      </c>
    </row>
    <row r="36" spans="1:12" ht="26.25" x14ac:dyDescent="0.25">
      <c r="A36" s="86"/>
      <c r="B36" s="31"/>
      <c r="C36" s="31"/>
      <c r="D36" s="87"/>
      <c r="E36" s="81"/>
      <c r="F36" s="81"/>
      <c r="I36" s="30">
        <v>5</v>
      </c>
      <c r="J36" s="30" t="str">
        <f t="shared" si="2"/>
        <v/>
      </c>
      <c r="K36" s="83" t="str">
        <f t="shared" ca="1" si="3"/>
        <v/>
      </c>
      <c r="L36" s="84" t="str">
        <f t="shared" ca="1" si="4"/>
        <v/>
      </c>
    </row>
    <row r="37" spans="1:12" ht="26.25" x14ac:dyDescent="0.25">
      <c r="A37" s="31"/>
      <c r="B37" s="62"/>
      <c r="C37" s="31"/>
      <c r="D37" s="87"/>
      <c r="E37" s="81"/>
      <c r="F37" s="81"/>
      <c r="I37" s="30">
        <v>4</v>
      </c>
      <c r="J37" s="30" t="str">
        <f t="shared" si="2"/>
        <v/>
      </c>
      <c r="K37" s="83" t="str">
        <f t="shared" ca="1" si="3"/>
        <v/>
      </c>
      <c r="L37" s="84" t="str">
        <f t="shared" ca="1" si="4"/>
        <v/>
      </c>
    </row>
    <row r="38" spans="1:12" ht="26.25" x14ac:dyDescent="0.25">
      <c r="A38" s="31"/>
      <c r="B38" s="31"/>
      <c r="C38" s="31"/>
      <c r="D38" s="87"/>
      <c r="E38" s="81"/>
      <c r="F38" s="81"/>
      <c r="I38" s="30">
        <v>3</v>
      </c>
      <c r="J38" s="30" t="str">
        <f t="shared" si="2"/>
        <v/>
      </c>
      <c r="K38" s="83" t="str">
        <f t="shared" ca="1" si="3"/>
        <v/>
      </c>
      <c r="L38" s="84" t="str">
        <f t="shared" ca="1" si="4"/>
        <v/>
      </c>
    </row>
    <row r="39" spans="1:12" ht="26.25" hidden="1" x14ac:dyDescent="0.25">
      <c r="A39" s="31"/>
      <c r="B39" s="31"/>
      <c r="C39" s="31"/>
      <c r="D39" s="87"/>
      <c r="E39" s="81"/>
      <c r="F39" s="81"/>
      <c r="I39" s="30">
        <v>2</v>
      </c>
      <c r="J39" s="30" t="str">
        <f t="shared" si="2"/>
        <v/>
      </c>
      <c r="K39" s="83" t="str">
        <f t="shared" ca="1" si="3"/>
        <v/>
      </c>
      <c r="L39" s="84" t="str">
        <f t="shared" ca="1" si="4"/>
        <v/>
      </c>
    </row>
    <row r="40" spans="1:12" ht="26.25" hidden="1" x14ac:dyDescent="0.25">
      <c r="A40" s="31"/>
      <c r="B40" s="31"/>
      <c r="C40" s="31"/>
      <c r="D40" s="87"/>
      <c r="E40" s="81"/>
      <c r="F40" s="81"/>
      <c r="I40" s="30">
        <v>1</v>
      </c>
      <c r="J40" s="30" t="str">
        <f t="shared" si="2"/>
        <v/>
      </c>
      <c r="K40" s="83" t="str">
        <f t="shared" ca="1" si="3"/>
        <v/>
      </c>
      <c r="L40" s="84" t="str">
        <f t="shared" ca="1" si="4"/>
        <v/>
      </c>
    </row>
    <row r="41" spans="1:12" ht="26.25" hidden="1" x14ac:dyDescent="0.25">
      <c r="A41" s="31"/>
      <c r="B41" s="31"/>
      <c r="C41" s="31"/>
      <c r="D41" s="87"/>
      <c r="E41" s="81"/>
      <c r="F41" s="81"/>
      <c r="I41" s="30">
        <v>0</v>
      </c>
      <c r="J41" s="30" t="str">
        <f>IF(C$21-I41&gt;0,"EDP"&amp;C$21-I41,"")</f>
        <v/>
      </c>
      <c r="K41" s="83" t="str">
        <f t="shared" ca="1" si="3"/>
        <v/>
      </c>
      <c r="L41" s="84" t="str">
        <f t="shared" ca="1" si="4"/>
        <v/>
      </c>
    </row>
    <row r="42" spans="1:12" ht="26.25" hidden="1" x14ac:dyDescent="0.25">
      <c r="A42" s="31"/>
      <c r="B42" s="31"/>
      <c r="C42" s="31"/>
      <c r="D42" s="87"/>
      <c r="E42" s="81"/>
      <c r="F42" s="81"/>
      <c r="K42" s="88"/>
      <c r="L42" s="89"/>
    </row>
    <row r="43" spans="1:12" ht="26.25" hidden="1" x14ac:dyDescent="0.25">
      <c r="A43" s="31"/>
      <c r="B43" s="31"/>
      <c r="C43" s="31"/>
      <c r="D43" s="87"/>
      <c r="E43" s="81"/>
      <c r="F43" s="81"/>
      <c r="K43" s="88"/>
      <c r="L43" s="89"/>
    </row>
    <row r="44" spans="1:12" ht="26.25" hidden="1" x14ac:dyDescent="0.25">
      <c r="A44" s="31"/>
      <c r="B44" s="31"/>
      <c r="C44" s="31"/>
      <c r="D44" s="87"/>
      <c r="E44" s="81"/>
      <c r="F44" s="81"/>
      <c r="K44" s="88"/>
      <c r="L44" s="89"/>
    </row>
    <row r="45" spans="1:12" ht="26.25" hidden="1" x14ac:dyDescent="0.25">
      <c r="A45" s="31"/>
      <c r="B45" s="31"/>
      <c r="C45" s="31"/>
      <c r="D45" s="87"/>
      <c r="E45" s="81"/>
      <c r="F45" s="81"/>
      <c r="K45" s="88"/>
      <c r="L45" s="89"/>
    </row>
    <row r="46" spans="1:12" ht="26.25" hidden="1" x14ac:dyDescent="0.25">
      <c r="A46" s="31"/>
      <c r="B46" s="31"/>
      <c r="C46" s="31"/>
      <c r="D46" s="87"/>
      <c r="E46" s="81"/>
      <c r="F46" s="81"/>
      <c r="K46" s="88"/>
      <c r="L46" s="89"/>
    </row>
    <row r="47" spans="1:12" ht="26.25" x14ac:dyDescent="0.25">
      <c r="A47" s="31"/>
      <c r="B47" s="31"/>
      <c r="C47" s="31"/>
      <c r="D47" s="87"/>
      <c r="E47" s="81"/>
      <c r="F47" s="81"/>
    </row>
    <row r="48" spans="1:12" x14ac:dyDescent="0.25">
      <c r="A48" s="38" t="s">
        <v>54</v>
      </c>
      <c r="B48" s="31"/>
      <c r="C48" s="31"/>
      <c r="D48" s="31"/>
      <c r="E48" s="31"/>
      <c r="F48" s="31"/>
    </row>
    <row r="49" spans="1:6" x14ac:dyDescent="0.25">
      <c r="A49" s="31"/>
      <c r="B49" s="31"/>
      <c r="C49" s="31"/>
      <c r="D49" s="31"/>
      <c r="E49" s="31"/>
      <c r="F49" s="31"/>
    </row>
    <row r="50" spans="1:6" x14ac:dyDescent="0.25">
      <c r="A50" s="90" t="s">
        <v>55</v>
      </c>
      <c r="B50" s="91" t="s">
        <v>56</v>
      </c>
      <c r="C50" s="517"/>
      <c r="D50" s="518"/>
      <c r="E50" s="508"/>
      <c r="F50" s="509"/>
    </row>
    <row r="51" spans="1:6" x14ac:dyDescent="0.25">
      <c r="A51" s="92"/>
      <c r="B51" s="93">
        <f>Datos!B11</f>
        <v>0</v>
      </c>
      <c r="C51" s="519" t="s">
        <v>58</v>
      </c>
      <c r="D51" s="516"/>
      <c r="E51" s="513" t="s">
        <v>57</v>
      </c>
      <c r="F51" s="512"/>
    </row>
    <row r="52" spans="1:6" x14ac:dyDescent="0.25">
      <c r="A52" s="90" t="s">
        <v>59</v>
      </c>
      <c r="B52" s="91" t="s">
        <v>60</v>
      </c>
      <c r="C52" s="520"/>
      <c r="D52" s="518"/>
      <c r="E52" s="508"/>
      <c r="F52" s="509"/>
    </row>
    <row r="53" spans="1:6" x14ac:dyDescent="0.25">
      <c r="A53" s="92"/>
      <c r="B53" s="94" t="s">
        <v>61</v>
      </c>
      <c r="C53" s="519" t="s">
        <v>58</v>
      </c>
      <c r="D53" s="516"/>
      <c r="E53" s="513" t="s">
        <v>57</v>
      </c>
      <c r="F53" s="512"/>
    </row>
    <row r="54" spans="1:6" x14ac:dyDescent="0.25">
      <c r="A54" s="90" t="s">
        <v>62</v>
      </c>
      <c r="B54" s="91" t="s">
        <v>63</v>
      </c>
      <c r="C54" s="520"/>
      <c r="D54" s="518"/>
      <c r="E54" s="508"/>
      <c r="F54" s="509"/>
    </row>
    <row r="55" spans="1:6" x14ac:dyDescent="0.25">
      <c r="A55" s="92"/>
      <c r="B55" s="94" t="s">
        <v>64</v>
      </c>
      <c r="C55" s="519" t="s">
        <v>58</v>
      </c>
      <c r="D55" s="516"/>
      <c r="E55" s="513" t="s">
        <v>57</v>
      </c>
      <c r="F55" s="512"/>
    </row>
    <row r="56" spans="1:6" x14ac:dyDescent="0.25">
      <c r="A56" s="90"/>
      <c r="B56" s="91"/>
      <c r="C56" s="517"/>
      <c r="D56" s="518"/>
      <c r="E56" s="508"/>
      <c r="F56" s="509"/>
    </row>
    <row r="57" spans="1:6" x14ac:dyDescent="0.25">
      <c r="A57" s="92"/>
      <c r="B57" s="94"/>
      <c r="C57" s="510"/>
      <c r="D57" s="516"/>
      <c r="E57" s="510"/>
      <c r="F57" s="511"/>
    </row>
    <row r="58" spans="1:6" x14ac:dyDescent="0.25">
      <c r="A58" s="90"/>
      <c r="B58" s="91"/>
      <c r="C58" s="517"/>
      <c r="D58" s="677"/>
      <c r="E58" s="678"/>
      <c r="F58" s="679"/>
    </row>
    <row r="59" spans="1:6" x14ac:dyDescent="0.25">
      <c r="A59" s="92"/>
      <c r="B59" s="94"/>
      <c r="C59" s="510"/>
      <c r="D59" s="511"/>
      <c r="E59" s="510"/>
      <c r="F59" s="511"/>
    </row>
    <row r="60" spans="1:6" x14ac:dyDescent="0.25">
      <c r="A60" s="31"/>
      <c r="B60" s="31"/>
      <c r="C60" s="95"/>
      <c r="D60" s="95"/>
      <c r="E60" s="95"/>
      <c r="F60" s="31"/>
    </row>
    <row r="61" spans="1:6" x14ac:dyDescent="0.25">
      <c r="A61" s="38" t="s">
        <v>65</v>
      </c>
      <c r="B61" s="31"/>
      <c r="C61" s="31"/>
      <c r="D61" s="31"/>
      <c r="E61" s="31"/>
      <c r="F61" s="31"/>
    </row>
    <row r="62" spans="1:6" ht="15.75" customHeight="1" x14ac:dyDescent="0.25">
      <c r="A62" s="96"/>
      <c r="B62" s="97"/>
      <c r="C62" s="97"/>
      <c r="D62" s="97"/>
      <c r="E62" s="97"/>
      <c r="F62" s="98"/>
    </row>
    <row r="63" spans="1:6" ht="15.75" customHeight="1" x14ac:dyDescent="0.25">
      <c r="A63" s="99"/>
      <c r="B63" s="100"/>
      <c r="C63" s="100"/>
      <c r="D63" s="100"/>
      <c r="E63" s="100"/>
      <c r="F63" s="101"/>
    </row>
    <row r="64" spans="1:6" ht="15.75" customHeight="1" x14ac:dyDescent="0.25">
      <c r="A64" s="102"/>
      <c r="B64" s="103"/>
      <c r="C64" s="103"/>
      <c r="D64" s="103"/>
      <c r="E64" s="103"/>
      <c r="F64" s="104"/>
    </row>
  </sheetData>
  <mergeCells count="3">
    <mergeCell ref="A1:F1"/>
    <mergeCell ref="C9:F9"/>
    <mergeCell ref="D34:D35"/>
  </mergeCells>
  <conditionalFormatting sqref="F27">
    <cfRule type="expression" dxfId="2" priority="1">
      <formula>$C$25="CLP"</formula>
    </cfRule>
  </conditionalFormatting>
  <pageMargins left="0.70866141732283472" right="0.70866141732283472" top="0.74803149606299213" bottom="0.74803149606299213" header="0.31496062992125984" footer="0.31496062992125984"/>
  <pageSetup scale="5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B1:V137"/>
  <sheetViews>
    <sheetView view="pageBreakPreview" topLeftCell="A4" zoomScale="60" zoomScaleNormal="95" zoomScalePageLayoutView="95" workbookViewId="0">
      <selection activeCell="K19" sqref="K19"/>
    </sheetView>
  </sheetViews>
  <sheetFormatPr baseColWidth="10" defaultColWidth="15.42578125" defaultRowHeight="12.75" outlineLevelRow="1" x14ac:dyDescent="0.2"/>
  <cols>
    <col min="1" max="2" width="3.42578125" style="124" customWidth="1"/>
    <col min="3" max="3" width="24.5703125" style="124" customWidth="1"/>
    <col min="4" max="5" width="11" style="124" customWidth="1"/>
    <col min="6" max="6" width="77.140625" style="124" customWidth="1"/>
    <col min="7" max="7" width="12.140625" style="124" customWidth="1"/>
    <col min="8" max="8" width="14.42578125" style="124" customWidth="1"/>
    <col min="9" max="9" width="17.7109375" style="124" bestFit="1" customWidth="1"/>
    <col min="10" max="10" width="17.85546875" style="124" bestFit="1" customWidth="1"/>
    <col min="11" max="11" width="12.140625" style="124" customWidth="1"/>
    <col min="12" max="12" width="14.42578125" style="124" customWidth="1"/>
    <col min="13" max="13" width="16.42578125" style="124" bestFit="1" customWidth="1"/>
    <col min="14" max="14" width="14.42578125" style="124" customWidth="1"/>
    <col min="15" max="15" width="16.5703125" style="124" customWidth="1"/>
    <col min="16" max="16" width="14.42578125" style="124" customWidth="1"/>
    <col min="17" max="17" width="27.42578125" style="124" customWidth="1"/>
    <col min="18" max="19" width="3.5703125" style="124" customWidth="1"/>
    <col min="20" max="258" width="15.42578125" style="124"/>
    <col min="259" max="260" width="3.42578125" style="124" customWidth="1"/>
    <col min="261" max="261" width="9.5703125" style="124" customWidth="1"/>
    <col min="262" max="262" width="11" style="124" customWidth="1"/>
    <col min="263" max="263" width="77.140625" style="124" customWidth="1"/>
    <col min="264" max="264" width="11.5703125" style="124" customWidth="1"/>
    <col min="265" max="265" width="9.28515625" style="124" bestFit="1" customWidth="1"/>
    <col min="266" max="266" width="16.5703125" style="124" bestFit="1" customWidth="1"/>
    <col min="267" max="267" width="16" style="124" customWidth="1"/>
    <col min="268" max="268" width="13.7109375" style="124" customWidth="1"/>
    <col min="269" max="269" width="16.5703125" style="124" customWidth="1"/>
    <col min="270" max="270" width="14.28515625" style="124" customWidth="1"/>
    <col min="271" max="271" width="16.5703125" style="124" customWidth="1"/>
    <col min="272" max="272" width="13.140625" style="124" customWidth="1"/>
    <col min="273" max="273" width="15.85546875" style="124" customWidth="1"/>
    <col min="274" max="275" width="3.5703125" style="124" customWidth="1"/>
    <col min="276" max="514" width="15.42578125" style="124"/>
    <col min="515" max="516" width="3.42578125" style="124" customWidth="1"/>
    <col min="517" max="517" width="9.5703125" style="124" customWidth="1"/>
    <col min="518" max="518" width="11" style="124" customWidth="1"/>
    <col min="519" max="519" width="77.140625" style="124" customWidth="1"/>
    <col min="520" max="520" width="11.5703125" style="124" customWidth="1"/>
    <col min="521" max="521" width="9.28515625" style="124" bestFit="1" customWidth="1"/>
    <col min="522" max="522" width="16.5703125" style="124" bestFit="1" customWidth="1"/>
    <col min="523" max="523" width="16" style="124" customWidth="1"/>
    <col min="524" max="524" width="13.7109375" style="124" customWidth="1"/>
    <col min="525" max="525" width="16.5703125" style="124" customWidth="1"/>
    <col min="526" max="526" width="14.28515625" style="124" customWidth="1"/>
    <col min="527" max="527" width="16.5703125" style="124" customWidth="1"/>
    <col min="528" max="528" width="13.140625" style="124" customWidth="1"/>
    <col min="529" max="529" width="15.85546875" style="124" customWidth="1"/>
    <col min="530" max="531" width="3.5703125" style="124" customWidth="1"/>
    <col min="532" max="770" width="15.42578125" style="124"/>
    <col min="771" max="772" width="3.42578125" style="124" customWidth="1"/>
    <col min="773" max="773" width="9.5703125" style="124" customWidth="1"/>
    <col min="774" max="774" width="11" style="124" customWidth="1"/>
    <col min="775" max="775" width="77.140625" style="124" customWidth="1"/>
    <col min="776" max="776" width="11.5703125" style="124" customWidth="1"/>
    <col min="777" max="777" width="9.28515625" style="124" bestFit="1" customWidth="1"/>
    <col min="778" max="778" width="16.5703125" style="124" bestFit="1" customWidth="1"/>
    <col min="779" max="779" width="16" style="124" customWidth="1"/>
    <col min="780" max="780" width="13.7109375" style="124" customWidth="1"/>
    <col min="781" max="781" width="16.5703125" style="124" customWidth="1"/>
    <col min="782" max="782" width="14.28515625" style="124" customWidth="1"/>
    <col min="783" max="783" width="16.5703125" style="124" customWidth="1"/>
    <col min="784" max="784" width="13.140625" style="124" customWidth="1"/>
    <col min="785" max="785" width="15.85546875" style="124" customWidth="1"/>
    <col min="786" max="787" width="3.5703125" style="124" customWidth="1"/>
    <col min="788" max="1026" width="15.42578125" style="124"/>
    <col min="1027" max="1028" width="3.42578125" style="124" customWidth="1"/>
    <col min="1029" max="1029" width="9.5703125" style="124" customWidth="1"/>
    <col min="1030" max="1030" width="11" style="124" customWidth="1"/>
    <col min="1031" max="1031" width="77.140625" style="124" customWidth="1"/>
    <col min="1032" max="1032" width="11.5703125" style="124" customWidth="1"/>
    <col min="1033" max="1033" width="9.28515625" style="124" bestFit="1" customWidth="1"/>
    <col min="1034" max="1034" width="16.5703125" style="124" bestFit="1" customWidth="1"/>
    <col min="1035" max="1035" width="16" style="124" customWidth="1"/>
    <col min="1036" max="1036" width="13.7109375" style="124" customWidth="1"/>
    <col min="1037" max="1037" width="16.5703125" style="124" customWidth="1"/>
    <col min="1038" max="1038" width="14.28515625" style="124" customWidth="1"/>
    <col min="1039" max="1039" width="16.5703125" style="124" customWidth="1"/>
    <col min="1040" max="1040" width="13.140625" style="124" customWidth="1"/>
    <col min="1041" max="1041" width="15.85546875" style="124" customWidth="1"/>
    <col min="1042" max="1043" width="3.5703125" style="124" customWidth="1"/>
    <col min="1044" max="1282" width="15.42578125" style="124"/>
    <col min="1283" max="1284" width="3.42578125" style="124" customWidth="1"/>
    <col min="1285" max="1285" width="9.5703125" style="124" customWidth="1"/>
    <col min="1286" max="1286" width="11" style="124" customWidth="1"/>
    <col min="1287" max="1287" width="77.140625" style="124" customWidth="1"/>
    <col min="1288" max="1288" width="11.5703125" style="124" customWidth="1"/>
    <col min="1289" max="1289" width="9.28515625" style="124" bestFit="1" customWidth="1"/>
    <col min="1290" max="1290" width="16.5703125" style="124" bestFit="1" customWidth="1"/>
    <col min="1291" max="1291" width="16" style="124" customWidth="1"/>
    <col min="1292" max="1292" width="13.7109375" style="124" customWidth="1"/>
    <col min="1293" max="1293" width="16.5703125" style="124" customWidth="1"/>
    <col min="1294" max="1294" width="14.28515625" style="124" customWidth="1"/>
    <col min="1295" max="1295" width="16.5703125" style="124" customWidth="1"/>
    <col min="1296" max="1296" width="13.140625" style="124" customWidth="1"/>
    <col min="1297" max="1297" width="15.85546875" style="124" customWidth="1"/>
    <col min="1298" max="1299" width="3.5703125" style="124" customWidth="1"/>
    <col min="1300" max="1538" width="15.42578125" style="124"/>
    <col min="1539" max="1540" width="3.42578125" style="124" customWidth="1"/>
    <col min="1541" max="1541" width="9.5703125" style="124" customWidth="1"/>
    <col min="1542" max="1542" width="11" style="124" customWidth="1"/>
    <col min="1543" max="1543" width="77.140625" style="124" customWidth="1"/>
    <col min="1544" max="1544" width="11.5703125" style="124" customWidth="1"/>
    <col min="1545" max="1545" width="9.28515625" style="124" bestFit="1" customWidth="1"/>
    <col min="1546" max="1546" width="16.5703125" style="124" bestFit="1" customWidth="1"/>
    <col min="1547" max="1547" width="16" style="124" customWidth="1"/>
    <col min="1548" max="1548" width="13.7109375" style="124" customWidth="1"/>
    <col min="1549" max="1549" width="16.5703125" style="124" customWidth="1"/>
    <col min="1550" max="1550" width="14.28515625" style="124" customWidth="1"/>
    <col min="1551" max="1551" width="16.5703125" style="124" customWidth="1"/>
    <col min="1552" max="1552" width="13.140625" style="124" customWidth="1"/>
    <col min="1553" max="1553" width="15.85546875" style="124" customWidth="1"/>
    <col min="1554" max="1555" width="3.5703125" style="124" customWidth="1"/>
    <col min="1556" max="1794" width="15.42578125" style="124"/>
    <col min="1795" max="1796" width="3.42578125" style="124" customWidth="1"/>
    <col min="1797" max="1797" width="9.5703125" style="124" customWidth="1"/>
    <col min="1798" max="1798" width="11" style="124" customWidth="1"/>
    <col min="1799" max="1799" width="77.140625" style="124" customWidth="1"/>
    <col min="1800" max="1800" width="11.5703125" style="124" customWidth="1"/>
    <col min="1801" max="1801" width="9.28515625" style="124" bestFit="1" customWidth="1"/>
    <col min="1802" max="1802" width="16.5703125" style="124" bestFit="1" customWidth="1"/>
    <col min="1803" max="1803" width="16" style="124" customWidth="1"/>
    <col min="1804" max="1804" width="13.7109375" style="124" customWidth="1"/>
    <col min="1805" max="1805" width="16.5703125" style="124" customWidth="1"/>
    <col min="1806" max="1806" width="14.28515625" style="124" customWidth="1"/>
    <col min="1807" max="1807" width="16.5703125" style="124" customWidth="1"/>
    <col min="1808" max="1808" width="13.140625" style="124" customWidth="1"/>
    <col min="1809" max="1809" width="15.85546875" style="124" customWidth="1"/>
    <col min="1810" max="1811" width="3.5703125" style="124" customWidth="1"/>
    <col min="1812" max="2050" width="15.42578125" style="124"/>
    <col min="2051" max="2052" width="3.42578125" style="124" customWidth="1"/>
    <col min="2053" max="2053" width="9.5703125" style="124" customWidth="1"/>
    <col min="2054" max="2054" width="11" style="124" customWidth="1"/>
    <col min="2055" max="2055" width="77.140625" style="124" customWidth="1"/>
    <col min="2056" max="2056" width="11.5703125" style="124" customWidth="1"/>
    <col min="2057" max="2057" width="9.28515625" style="124" bestFit="1" customWidth="1"/>
    <col min="2058" max="2058" width="16.5703125" style="124" bestFit="1" customWidth="1"/>
    <col min="2059" max="2059" width="16" style="124" customWidth="1"/>
    <col min="2060" max="2060" width="13.7109375" style="124" customWidth="1"/>
    <col min="2061" max="2061" width="16.5703125" style="124" customWidth="1"/>
    <col min="2062" max="2062" width="14.28515625" style="124" customWidth="1"/>
    <col min="2063" max="2063" width="16.5703125" style="124" customWidth="1"/>
    <col min="2064" max="2064" width="13.140625" style="124" customWidth="1"/>
    <col min="2065" max="2065" width="15.85546875" style="124" customWidth="1"/>
    <col min="2066" max="2067" width="3.5703125" style="124" customWidth="1"/>
    <col min="2068" max="2306" width="15.42578125" style="124"/>
    <col min="2307" max="2308" width="3.42578125" style="124" customWidth="1"/>
    <col min="2309" max="2309" width="9.5703125" style="124" customWidth="1"/>
    <col min="2310" max="2310" width="11" style="124" customWidth="1"/>
    <col min="2311" max="2311" width="77.140625" style="124" customWidth="1"/>
    <col min="2312" max="2312" width="11.5703125" style="124" customWidth="1"/>
    <col min="2313" max="2313" width="9.28515625" style="124" bestFit="1" customWidth="1"/>
    <col min="2314" max="2314" width="16.5703125" style="124" bestFit="1" customWidth="1"/>
    <col min="2315" max="2315" width="16" style="124" customWidth="1"/>
    <col min="2316" max="2316" width="13.7109375" style="124" customWidth="1"/>
    <col min="2317" max="2317" width="16.5703125" style="124" customWidth="1"/>
    <col min="2318" max="2318" width="14.28515625" style="124" customWidth="1"/>
    <col min="2319" max="2319" width="16.5703125" style="124" customWidth="1"/>
    <col min="2320" max="2320" width="13.140625" style="124" customWidth="1"/>
    <col min="2321" max="2321" width="15.85546875" style="124" customWidth="1"/>
    <col min="2322" max="2323" width="3.5703125" style="124" customWidth="1"/>
    <col min="2324" max="2562" width="15.42578125" style="124"/>
    <col min="2563" max="2564" width="3.42578125" style="124" customWidth="1"/>
    <col min="2565" max="2565" width="9.5703125" style="124" customWidth="1"/>
    <col min="2566" max="2566" width="11" style="124" customWidth="1"/>
    <col min="2567" max="2567" width="77.140625" style="124" customWidth="1"/>
    <col min="2568" max="2568" width="11.5703125" style="124" customWidth="1"/>
    <col min="2569" max="2569" width="9.28515625" style="124" bestFit="1" customWidth="1"/>
    <col min="2570" max="2570" width="16.5703125" style="124" bestFit="1" customWidth="1"/>
    <col min="2571" max="2571" width="16" style="124" customWidth="1"/>
    <col min="2572" max="2572" width="13.7109375" style="124" customWidth="1"/>
    <col min="2573" max="2573" width="16.5703125" style="124" customWidth="1"/>
    <col min="2574" max="2574" width="14.28515625" style="124" customWidth="1"/>
    <col min="2575" max="2575" width="16.5703125" style="124" customWidth="1"/>
    <col min="2576" max="2576" width="13.140625" style="124" customWidth="1"/>
    <col min="2577" max="2577" width="15.85546875" style="124" customWidth="1"/>
    <col min="2578" max="2579" width="3.5703125" style="124" customWidth="1"/>
    <col min="2580" max="2818" width="15.42578125" style="124"/>
    <col min="2819" max="2820" width="3.42578125" style="124" customWidth="1"/>
    <col min="2821" max="2821" width="9.5703125" style="124" customWidth="1"/>
    <col min="2822" max="2822" width="11" style="124" customWidth="1"/>
    <col min="2823" max="2823" width="77.140625" style="124" customWidth="1"/>
    <col min="2824" max="2824" width="11.5703125" style="124" customWidth="1"/>
    <col min="2825" max="2825" width="9.28515625" style="124" bestFit="1" customWidth="1"/>
    <col min="2826" max="2826" width="16.5703125" style="124" bestFit="1" customWidth="1"/>
    <col min="2827" max="2827" width="16" style="124" customWidth="1"/>
    <col min="2828" max="2828" width="13.7109375" style="124" customWidth="1"/>
    <col min="2829" max="2829" width="16.5703125" style="124" customWidth="1"/>
    <col min="2830" max="2830" width="14.28515625" style="124" customWidth="1"/>
    <col min="2831" max="2831" width="16.5703125" style="124" customWidth="1"/>
    <col min="2832" max="2832" width="13.140625" style="124" customWidth="1"/>
    <col min="2833" max="2833" width="15.85546875" style="124" customWidth="1"/>
    <col min="2834" max="2835" width="3.5703125" style="124" customWidth="1"/>
    <col min="2836" max="3074" width="15.42578125" style="124"/>
    <col min="3075" max="3076" width="3.42578125" style="124" customWidth="1"/>
    <col min="3077" max="3077" width="9.5703125" style="124" customWidth="1"/>
    <col min="3078" max="3078" width="11" style="124" customWidth="1"/>
    <col min="3079" max="3079" width="77.140625" style="124" customWidth="1"/>
    <col min="3080" max="3080" width="11.5703125" style="124" customWidth="1"/>
    <col min="3081" max="3081" width="9.28515625" style="124" bestFit="1" customWidth="1"/>
    <col min="3082" max="3082" width="16.5703125" style="124" bestFit="1" customWidth="1"/>
    <col min="3083" max="3083" width="16" style="124" customWidth="1"/>
    <col min="3084" max="3084" width="13.7109375" style="124" customWidth="1"/>
    <col min="3085" max="3085" width="16.5703125" style="124" customWidth="1"/>
    <col min="3086" max="3086" width="14.28515625" style="124" customWidth="1"/>
    <col min="3087" max="3087" width="16.5703125" style="124" customWidth="1"/>
    <col min="3088" max="3088" width="13.140625" style="124" customWidth="1"/>
    <col min="3089" max="3089" width="15.85546875" style="124" customWidth="1"/>
    <col min="3090" max="3091" width="3.5703125" style="124" customWidth="1"/>
    <col min="3092" max="3330" width="15.42578125" style="124"/>
    <col min="3331" max="3332" width="3.42578125" style="124" customWidth="1"/>
    <col min="3333" max="3333" width="9.5703125" style="124" customWidth="1"/>
    <col min="3334" max="3334" width="11" style="124" customWidth="1"/>
    <col min="3335" max="3335" width="77.140625" style="124" customWidth="1"/>
    <col min="3336" max="3336" width="11.5703125" style="124" customWidth="1"/>
    <col min="3337" max="3337" width="9.28515625" style="124" bestFit="1" customWidth="1"/>
    <col min="3338" max="3338" width="16.5703125" style="124" bestFit="1" customWidth="1"/>
    <col min="3339" max="3339" width="16" style="124" customWidth="1"/>
    <col min="3340" max="3340" width="13.7109375" style="124" customWidth="1"/>
    <col min="3341" max="3341" width="16.5703125" style="124" customWidth="1"/>
    <col min="3342" max="3342" width="14.28515625" style="124" customWidth="1"/>
    <col min="3343" max="3343" width="16.5703125" style="124" customWidth="1"/>
    <col min="3344" max="3344" width="13.140625" style="124" customWidth="1"/>
    <col min="3345" max="3345" width="15.85546875" style="124" customWidth="1"/>
    <col min="3346" max="3347" width="3.5703125" style="124" customWidth="1"/>
    <col min="3348" max="3586" width="15.42578125" style="124"/>
    <col min="3587" max="3588" width="3.42578125" style="124" customWidth="1"/>
    <col min="3589" max="3589" width="9.5703125" style="124" customWidth="1"/>
    <col min="3590" max="3590" width="11" style="124" customWidth="1"/>
    <col min="3591" max="3591" width="77.140625" style="124" customWidth="1"/>
    <col min="3592" max="3592" width="11.5703125" style="124" customWidth="1"/>
    <col min="3593" max="3593" width="9.28515625" style="124" bestFit="1" customWidth="1"/>
    <col min="3594" max="3594" width="16.5703125" style="124" bestFit="1" customWidth="1"/>
    <col min="3595" max="3595" width="16" style="124" customWidth="1"/>
    <col min="3596" max="3596" width="13.7109375" style="124" customWidth="1"/>
    <col min="3597" max="3597" width="16.5703125" style="124" customWidth="1"/>
    <col min="3598" max="3598" width="14.28515625" style="124" customWidth="1"/>
    <col min="3599" max="3599" width="16.5703125" style="124" customWidth="1"/>
    <col min="3600" max="3600" width="13.140625" style="124" customWidth="1"/>
    <col min="3601" max="3601" width="15.85546875" style="124" customWidth="1"/>
    <col min="3602" max="3603" width="3.5703125" style="124" customWidth="1"/>
    <col min="3604" max="3842" width="15.42578125" style="124"/>
    <col min="3843" max="3844" width="3.42578125" style="124" customWidth="1"/>
    <col min="3845" max="3845" width="9.5703125" style="124" customWidth="1"/>
    <col min="3846" max="3846" width="11" style="124" customWidth="1"/>
    <col min="3847" max="3847" width="77.140625" style="124" customWidth="1"/>
    <col min="3848" max="3848" width="11.5703125" style="124" customWidth="1"/>
    <col min="3849" max="3849" width="9.28515625" style="124" bestFit="1" customWidth="1"/>
    <col min="3850" max="3850" width="16.5703125" style="124" bestFit="1" customWidth="1"/>
    <col min="3851" max="3851" width="16" style="124" customWidth="1"/>
    <col min="3852" max="3852" width="13.7109375" style="124" customWidth="1"/>
    <col min="3853" max="3853" width="16.5703125" style="124" customWidth="1"/>
    <col min="3854" max="3854" width="14.28515625" style="124" customWidth="1"/>
    <col min="3855" max="3855" width="16.5703125" style="124" customWidth="1"/>
    <col min="3856" max="3856" width="13.140625" style="124" customWidth="1"/>
    <col min="3857" max="3857" width="15.85546875" style="124" customWidth="1"/>
    <col min="3858" max="3859" width="3.5703125" style="124" customWidth="1"/>
    <col min="3860" max="4098" width="15.42578125" style="124"/>
    <col min="4099" max="4100" width="3.42578125" style="124" customWidth="1"/>
    <col min="4101" max="4101" width="9.5703125" style="124" customWidth="1"/>
    <col min="4102" max="4102" width="11" style="124" customWidth="1"/>
    <col min="4103" max="4103" width="77.140625" style="124" customWidth="1"/>
    <col min="4104" max="4104" width="11.5703125" style="124" customWidth="1"/>
    <col min="4105" max="4105" width="9.28515625" style="124" bestFit="1" customWidth="1"/>
    <col min="4106" max="4106" width="16.5703125" style="124" bestFit="1" customWidth="1"/>
    <col min="4107" max="4107" width="16" style="124" customWidth="1"/>
    <col min="4108" max="4108" width="13.7109375" style="124" customWidth="1"/>
    <col min="4109" max="4109" width="16.5703125" style="124" customWidth="1"/>
    <col min="4110" max="4110" width="14.28515625" style="124" customWidth="1"/>
    <col min="4111" max="4111" width="16.5703125" style="124" customWidth="1"/>
    <col min="4112" max="4112" width="13.140625" style="124" customWidth="1"/>
    <col min="4113" max="4113" width="15.85546875" style="124" customWidth="1"/>
    <col min="4114" max="4115" width="3.5703125" style="124" customWidth="1"/>
    <col min="4116" max="4354" width="15.42578125" style="124"/>
    <col min="4355" max="4356" width="3.42578125" style="124" customWidth="1"/>
    <col min="4357" max="4357" width="9.5703125" style="124" customWidth="1"/>
    <col min="4358" max="4358" width="11" style="124" customWidth="1"/>
    <col min="4359" max="4359" width="77.140625" style="124" customWidth="1"/>
    <col min="4360" max="4360" width="11.5703125" style="124" customWidth="1"/>
    <col min="4361" max="4361" width="9.28515625" style="124" bestFit="1" customWidth="1"/>
    <col min="4362" max="4362" width="16.5703125" style="124" bestFit="1" customWidth="1"/>
    <col min="4363" max="4363" width="16" style="124" customWidth="1"/>
    <col min="4364" max="4364" width="13.7109375" style="124" customWidth="1"/>
    <col min="4365" max="4365" width="16.5703125" style="124" customWidth="1"/>
    <col min="4366" max="4366" width="14.28515625" style="124" customWidth="1"/>
    <col min="4367" max="4367" width="16.5703125" style="124" customWidth="1"/>
    <col min="4368" max="4368" width="13.140625" style="124" customWidth="1"/>
    <col min="4369" max="4369" width="15.85546875" style="124" customWidth="1"/>
    <col min="4370" max="4371" width="3.5703125" style="124" customWidth="1"/>
    <col min="4372" max="4610" width="15.42578125" style="124"/>
    <col min="4611" max="4612" width="3.42578125" style="124" customWidth="1"/>
    <col min="4613" max="4613" width="9.5703125" style="124" customWidth="1"/>
    <col min="4614" max="4614" width="11" style="124" customWidth="1"/>
    <col min="4615" max="4615" width="77.140625" style="124" customWidth="1"/>
    <col min="4616" max="4616" width="11.5703125" style="124" customWidth="1"/>
    <col min="4617" max="4617" width="9.28515625" style="124" bestFit="1" customWidth="1"/>
    <col min="4618" max="4618" width="16.5703125" style="124" bestFit="1" customWidth="1"/>
    <col min="4619" max="4619" width="16" style="124" customWidth="1"/>
    <col min="4620" max="4620" width="13.7109375" style="124" customWidth="1"/>
    <col min="4621" max="4621" width="16.5703125" style="124" customWidth="1"/>
    <col min="4622" max="4622" width="14.28515625" style="124" customWidth="1"/>
    <col min="4623" max="4623" width="16.5703125" style="124" customWidth="1"/>
    <col min="4624" max="4624" width="13.140625" style="124" customWidth="1"/>
    <col min="4625" max="4625" width="15.85546875" style="124" customWidth="1"/>
    <col min="4626" max="4627" width="3.5703125" style="124" customWidth="1"/>
    <col min="4628" max="4866" width="15.42578125" style="124"/>
    <col min="4867" max="4868" width="3.42578125" style="124" customWidth="1"/>
    <col min="4869" max="4869" width="9.5703125" style="124" customWidth="1"/>
    <col min="4870" max="4870" width="11" style="124" customWidth="1"/>
    <col min="4871" max="4871" width="77.140625" style="124" customWidth="1"/>
    <col min="4872" max="4872" width="11.5703125" style="124" customWidth="1"/>
    <col min="4873" max="4873" width="9.28515625" style="124" bestFit="1" customWidth="1"/>
    <col min="4874" max="4874" width="16.5703125" style="124" bestFit="1" customWidth="1"/>
    <col min="4875" max="4875" width="16" style="124" customWidth="1"/>
    <col min="4876" max="4876" width="13.7109375" style="124" customWidth="1"/>
    <col min="4877" max="4877" width="16.5703125" style="124" customWidth="1"/>
    <col min="4878" max="4878" width="14.28515625" style="124" customWidth="1"/>
    <col min="4879" max="4879" width="16.5703125" style="124" customWidth="1"/>
    <col min="4880" max="4880" width="13.140625" style="124" customWidth="1"/>
    <col min="4881" max="4881" width="15.85546875" style="124" customWidth="1"/>
    <col min="4882" max="4883" width="3.5703125" style="124" customWidth="1"/>
    <col min="4884" max="5122" width="15.42578125" style="124"/>
    <col min="5123" max="5124" width="3.42578125" style="124" customWidth="1"/>
    <col min="5125" max="5125" width="9.5703125" style="124" customWidth="1"/>
    <col min="5126" max="5126" width="11" style="124" customWidth="1"/>
    <col min="5127" max="5127" width="77.140625" style="124" customWidth="1"/>
    <col min="5128" max="5128" width="11.5703125" style="124" customWidth="1"/>
    <col min="5129" max="5129" width="9.28515625" style="124" bestFit="1" customWidth="1"/>
    <col min="5130" max="5130" width="16.5703125" style="124" bestFit="1" customWidth="1"/>
    <col min="5131" max="5131" width="16" style="124" customWidth="1"/>
    <col min="5132" max="5132" width="13.7109375" style="124" customWidth="1"/>
    <col min="5133" max="5133" width="16.5703125" style="124" customWidth="1"/>
    <col min="5134" max="5134" width="14.28515625" style="124" customWidth="1"/>
    <col min="5135" max="5135" width="16.5703125" style="124" customWidth="1"/>
    <col min="5136" max="5136" width="13.140625" style="124" customWidth="1"/>
    <col min="5137" max="5137" width="15.85546875" style="124" customWidth="1"/>
    <col min="5138" max="5139" width="3.5703125" style="124" customWidth="1"/>
    <col min="5140" max="5378" width="15.42578125" style="124"/>
    <col min="5379" max="5380" width="3.42578125" style="124" customWidth="1"/>
    <col min="5381" max="5381" width="9.5703125" style="124" customWidth="1"/>
    <col min="5382" max="5382" width="11" style="124" customWidth="1"/>
    <col min="5383" max="5383" width="77.140625" style="124" customWidth="1"/>
    <col min="5384" max="5384" width="11.5703125" style="124" customWidth="1"/>
    <col min="5385" max="5385" width="9.28515625" style="124" bestFit="1" customWidth="1"/>
    <col min="5386" max="5386" width="16.5703125" style="124" bestFit="1" customWidth="1"/>
    <col min="5387" max="5387" width="16" style="124" customWidth="1"/>
    <col min="5388" max="5388" width="13.7109375" style="124" customWidth="1"/>
    <col min="5389" max="5389" width="16.5703125" style="124" customWidth="1"/>
    <col min="5390" max="5390" width="14.28515625" style="124" customWidth="1"/>
    <col min="5391" max="5391" width="16.5703125" style="124" customWidth="1"/>
    <col min="5392" max="5392" width="13.140625" style="124" customWidth="1"/>
    <col min="5393" max="5393" width="15.85546875" style="124" customWidth="1"/>
    <col min="5394" max="5395" width="3.5703125" style="124" customWidth="1"/>
    <col min="5396" max="5634" width="15.42578125" style="124"/>
    <col min="5635" max="5636" width="3.42578125" style="124" customWidth="1"/>
    <col min="5637" max="5637" width="9.5703125" style="124" customWidth="1"/>
    <col min="5638" max="5638" width="11" style="124" customWidth="1"/>
    <col min="5639" max="5639" width="77.140625" style="124" customWidth="1"/>
    <col min="5640" max="5640" width="11.5703125" style="124" customWidth="1"/>
    <col min="5641" max="5641" width="9.28515625" style="124" bestFit="1" customWidth="1"/>
    <col min="5642" max="5642" width="16.5703125" style="124" bestFit="1" customWidth="1"/>
    <col min="5643" max="5643" width="16" style="124" customWidth="1"/>
    <col min="5644" max="5644" width="13.7109375" style="124" customWidth="1"/>
    <col min="5645" max="5645" width="16.5703125" style="124" customWidth="1"/>
    <col min="5646" max="5646" width="14.28515625" style="124" customWidth="1"/>
    <col min="5647" max="5647" width="16.5703125" style="124" customWidth="1"/>
    <col min="5648" max="5648" width="13.140625" style="124" customWidth="1"/>
    <col min="5649" max="5649" width="15.85546875" style="124" customWidth="1"/>
    <col min="5650" max="5651" width="3.5703125" style="124" customWidth="1"/>
    <col min="5652" max="5890" width="15.42578125" style="124"/>
    <col min="5891" max="5892" width="3.42578125" style="124" customWidth="1"/>
    <col min="5893" max="5893" width="9.5703125" style="124" customWidth="1"/>
    <col min="5894" max="5894" width="11" style="124" customWidth="1"/>
    <col min="5895" max="5895" width="77.140625" style="124" customWidth="1"/>
    <col min="5896" max="5896" width="11.5703125" style="124" customWidth="1"/>
    <col min="5897" max="5897" width="9.28515625" style="124" bestFit="1" customWidth="1"/>
    <col min="5898" max="5898" width="16.5703125" style="124" bestFit="1" customWidth="1"/>
    <col min="5899" max="5899" width="16" style="124" customWidth="1"/>
    <col min="5900" max="5900" width="13.7109375" style="124" customWidth="1"/>
    <col min="5901" max="5901" width="16.5703125" style="124" customWidth="1"/>
    <col min="5902" max="5902" width="14.28515625" style="124" customWidth="1"/>
    <col min="5903" max="5903" width="16.5703125" style="124" customWidth="1"/>
    <col min="5904" max="5904" width="13.140625" style="124" customWidth="1"/>
    <col min="5905" max="5905" width="15.85546875" style="124" customWidth="1"/>
    <col min="5906" max="5907" width="3.5703125" style="124" customWidth="1"/>
    <col min="5908" max="6146" width="15.42578125" style="124"/>
    <col min="6147" max="6148" width="3.42578125" style="124" customWidth="1"/>
    <col min="6149" max="6149" width="9.5703125" style="124" customWidth="1"/>
    <col min="6150" max="6150" width="11" style="124" customWidth="1"/>
    <col min="6151" max="6151" width="77.140625" style="124" customWidth="1"/>
    <col min="6152" max="6152" width="11.5703125" style="124" customWidth="1"/>
    <col min="6153" max="6153" width="9.28515625" style="124" bestFit="1" customWidth="1"/>
    <col min="6154" max="6154" width="16.5703125" style="124" bestFit="1" customWidth="1"/>
    <col min="6155" max="6155" width="16" style="124" customWidth="1"/>
    <col min="6156" max="6156" width="13.7109375" style="124" customWidth="1"/>
    <col min="6157" max="6157" width="16.5703125" style="124" customWidth="1"/>
    <col min="6158" max="6158" width="14.28515625" style="124" customWidth="1"/>
    <col min="6159" max="6159" width="16.5703125" style="124" customWidth="1"/>
    <col min="6160" max="6160" width="13.140625" style="124" customWidth="1"/>
    <col min="6161" max="6161" width="15.85546875" style="124" customWidth="1"/>
    <col min="6162" max="6163" width="3.5703125" style="124" customWidth="1"/>
    <col min="6164" max="6402" width="15.42578125" style="124"/>
    <col min="6403" max="6404" width="3.42578125" style="124" customWidth="1"/>
    <col min="6405" max="6405" width="9.5703125" style="124" customWidth="1"/>
    <col min="6406" max="6406" width="11" style="124" customWidth="1"/>
    <col min="6407" max="6407" width="77.140625" style="124" customWidth="1"/>
    <col min="6408" max="6408" width="11.5703125" style="124" customWidth="1"/>
    <col min="6409" max="6409" width="9.28515625" style="124" bestFit="1" customWidth="1"/>
    <col min="6410" max="6410" width="16.5703125" style="124" bestFit="1" customWidth="1"/>
    <col min="6411" max="6411" width="16" style="124" customWidth="1"/>
    <col min="6412" max="6412" width="13.7109375" style="124" customWidth="1"/>
    <col min="6413" max="6413" width="16.5703125" style="124" customWidth="1"/>
    <col min="6414" max="6414" width="14.28515625" style="124" customWidth="1"/>
    <col min="6415" max="6415" width="16.5703125" style="124" customWidth="1"/>
    <col min="6416" max="6416" width="13.140625" style="124" customWidth="1"/>
    <col min="6417" max="6417" width="15.85546875" style="124" customWidth="1"/>
    <col min="6418" max="6419" width="3.5703125" style="124" customWidth="1"/>
    <col min="6420" max="6658" width="15.42578125" style="124"/>
    <col min="6659" max="6660" width="3.42578125" style="124" customWidth="1"/>
    <col min="6661" max="6661" width="9.5703125" style="124" customWidth="1"/>
    <col min="6662" max="6662" width="11" style="124" customWidth="1"/>
    <col min="6663" max="6663" width="77.140625" style="124" customWidth="1"/>
    <col min="6664" max="6664" width="11.5703125" style="124" customWidth="1"/>
    <col min="6665" max="6665" width="9.28515625" style="124" bestFit="1" customWidth="1"/>
    <col min="6666" max="6666" width="16.5703125" style="124" bestFit="1" customWidth="1"/>
    <col min="6667" max="6667" width="16" style="124" customWidth="1"/>
    <col min="6668" max="6668" width="13.7109375" style="124" customWidth="1"/>
    <col min="6669" max="6669" width="16.5703125" style="124" customWidth="1"/>
    <col min="6670" max="6670" width="14.28515625" style="124" customWidth="1"/>
    <col min="6671" max="6671" width="16.5703125" style="124" customWidth="1"/>
    <col min="6672" max="6672" width="13.140625" style="124" customWidth="1"/>
    <col min="6673" max="6673" width="15.85546875" style="124" customWidth="1"/>
    <col min="6674" max="6675" width="3.5703125" style="124" customWidth="1"/>
    <col min="6676" max="6914" width="15.42578125" style="124"/>
    <col min="6915" max="6916" width="3.42578125" style="124" customWidth="1"/>
    <col min="6917" max="6917" width="9.5703125" style="124" customWidth="1"/>
    <col min="6918" max="6918" width="11" style="124" customWidth="1"/>
    <col min="6919" max="6919" width="77.140625" style="124" customWidth="1"/>
    <col min="6920" max="6920" width="11.5703125" style="124" customWidth="1"/>
    <col min="6921" max="6921" width="9.28515625" style="124" bestFit="1" customWidth="1"/>
    <col min="6922" max="6922" width="16.5703125" style="124" bestFit="1" customWidth="1"/>
    <col min="6923" max="6923" width="16" style="124" customWidth="1"/>
    <col min="6924" max="6924" width="13.7109375" style="124" customWidth="1"/>
    <col min="6925" max="6925" width="16.5703125" style="124" customWidth="1"/>
    <col min="6926" max="6926" width="14.28515625" style="124" customWidth="1"/>
    <col min="6927" max="6927" width="16.5703125" style="124" customWidth="1"/>
    <col min="6928" max="6928" width="13.140625" style="124" customWidth="1"/>
    <col min="6929" max="6929" width="15.85546875" style="124" customWidth="1"/>
    <col min="6930" max="6931" width="3.5703125" style="124" customWidth="1"/>
    <col min="6932" max="7170" width="15.42578125" style="124"/>
    <col min="7171" max="7172" width="3.42578125" style="124" customWidth="1"/>
    <col min="7173" max="7173" width="9.5703125" style="124" customWidth="1"/>
    <col min="7174" max="7174" width="11" style="124" customWidth="1"/>
    <col min="7175" max="7175" width="77.140625" style="124" customWidth="1"/>
    <col min="7176" max="7176" width="11.5703125" style="124" customWidth="1"/>
    <col min="7177" max="7177" width="9.28515625" style="124" bestFit="1" customWidth="1"/>
    <col min="7178" max="7178" width="16.5703125" style="124" bestFit="1" customWidth="1"/>
    <col min="7179" max="7179" width="16" style="124" customWidth="1"/>
    <col min="7180" max="7180" width="13.7109375" style="124" customWidth="1"/>
    <col min="7181" max="7181" width="16.5703125" style="124" customWidth="1"/>
    <col min="7182" max="7182" width="14.28515625" style="124" customWidth="1"/>
    <col min="7183" max="7183" width="16.5703125" style="124" customWidth="1"/>
    <col min="7184" max="7184" width="13.140625" style="124" customWidth="1"/>
    <col min="7185" max="7185" width="15.85546875" style="124" customWidth="1"/>
    <col min="7186" max="7187" width="3.5703125" style="124" customWidth="1"/>
    <col min="7188" max="7426" width="15.42578125" style="124"/>
    <col min="7427" max="7428" width="3.42578125" style="124" customWidth="1"/>
    <col min="7429" max="7429" width="9.5703125" style="124" customWidth="1"/>
    <col min="7430" max="7430" width="11" style="124" customWidth="1"/>
    <col min="7431" max="7431" width="77.140625" style="124" customWidth="1"/>
    <col min="7432" max="7432" width="11.5703125" style="124" customWidth="1"/>
    <col min="7433" max="7433" width="9.28515625" style="124" bestFit="1" customWidth="1"/>
    <col min="7434" max="7434" width="16.5703125" style="124" bestFit="1" customWidth="1"/>
    <col min="7435" max="7435" width="16" style="124" customWidth="1"/>
    <col min="7436" max="7436" width="13.7109375" style="124" customWidth="1"/>
    <col min="7437" max="7437" width="16.5703125" style="124" customWidth="1"/>
    <col min="7438" max="7438" width="14.28515625" style="124" customWidth="1"/>
    <col min="7439" max="7439" width="16.5703125" style="124" customWidth="1"/>
    <col min="7440" max="7440" width="13.140625" style="124" customWidth="1"/>
    <col min="7441" max="7441" width="15.85546875" style="124" customWidth="1"/>
    <col min="7442" max="7443" width="3.5703125" style="124" customWidth="1"/>
    <col min="7444" max="7682" width="15.42578125" style="124"/>
    <col min="7683" max="7684" width="3.42578125" style="124" customWidth="1"/>
    <col min="7685" max="7685" width="9.5703125" style="124" customWidth="1"/>
    <col min="7686" max="7686" width="11" style="124" customWidth="1"/>
    <col min="7687" max="7687" width="77.140625" style="124" customWidth="1"/>
    <col min="7688" max="7688" width="11.5703125" style="124" customWidth="1"/>
    <col min="7689" max="7689" width="9.28515625" style="124" bestFit="1" customWidth="1"/>
    <col min="7690" max="7690" width="16.5703125" style="124" bestFit="1" customWidth="1"/>
    <col min="7691" max="7691" width="16" style="124" customWidth="1"/>
    <col min="7692" max="7692" width="13.7109375" style="124" customWidth="1"/>
    <col min="7693" max="7693" width="16.5703125" style="124" customWidth="1"/>
    <col min="7694" max="7694" width="14.28515625" style="124" customWidth="1"/>
    <col min="7695" max="7695" width="16.5703125" style="124" customWidth="1"/>
    <col min="7696" max="7696" width="13.140625" style="124" customWidth="1"/>
    <col min="7697" max="7697" width="15.85546875" style="124" customWidth="1"/>
    <col min="7698" max="7699" width="3.5703125" style="124" customWidth="1"/>
    <col min="7700" max="7938" width="15.42578125" style="124"/>
    <col min="7939" max="7940" width="3.42578125" style="124" customWidth="1"/>
    <col min="7941" max="7941" width="9.5703125" style="124" customWidth="1"/>
    <col min="7942" max="7942" width="11" style="124" customWidth="1"/>
    <col min="7943" max="7943" width="77.140625" style="124" customWidth="1"/>
    <col min="7944" max="7944" width="11.5703125" style="124" customWidth="1"/>
    <col min="7945" max="7945" width="9.28515625" style="124" bestFit="1" customWidth="1"/>
    <col min="7946" max="7946" width="16.5703125" style="124" bestFit="1" customWidth="1"/>
    <col min="7947" max="7947" width="16" style="124" customWidth="1"/>
    <col min="7948" max="7948" width="13.7109375" style="124" customWidth="1"/>
    <col min="7949" max="7949" width="16.5703125" style="124" customWidth="1"/>
    <col min="7950" max="7950" width="14.28515625" style="124" customWidth="1"/>
    <col min="7951" max="7951" width="16.5703125" style="124" customWidth="1"/>
    <col min="7952" max="7952" width="13.140625" style="124" customWidth="1"/>
    <col min="7953" max="7953" width="15.85546875" style="124" customWidth="1"/>
    <col min="7954" max="7955" width="3.5703125" style="124" customWidth="1"/>
    <col min="7956" max="8194" width="15.42578125" style="124"/>
    <col min="8195" max="8196" width="3.42578125" style="124" customWidth="1"/>
    <col min="8197" max="8197" width="9.5703125" style="124" customWidth="1"/>
    <col min="8198" max="8198" width="11" style="124" customWidth="1"/>
    <col min="8199" max="8199" width="77.140625" style="124" customWidth="1"/>
    <col min="8200" max="8200" width="11.5703125" style="124" customWidth="1"/>
    <col min="8201" max="8201" width="9.28515625" style="124" bestFit="1" customWidth="1"/>
    <col min="8202" max="8202" width="16.5703125" style="124" bestFit="1" customWidth="1"/>
    <col min="8203" max="8203" width="16" style="124" customWidth="1"/>
    <col min="8204" max="8204" width="13.7109375" style="124" customWidth="1"/>
    <col min="8205" max="8205" width="16.5703125" style="124" customWidth="1"/>
    <col min="8206" max="8206" width="14.28515625" style="124" customWidth="1"/>
    <col min="8207" max="8207" width="16.5703125" style="124" customWidth="1"/>
    <col min="8208" max="8208" width="13.140625" style="124" customWidth="1"/>
    <col min="8209" max="8209" width="15.85546875" style="124" customWidth="1"/>
    <col min="8210" max="8211" width="3.5703125" style="124" customWidth="1"/>
    <col min="8212" max="8450" width="15.42578125" style="124"/>
    <col min="8451" max="8452" width="3.42578125" style="124" customWidth="1"/>
    <col min="8453" max="8453" width="9.5703125" style="124" customWidth="1"/>
    <col min="8454" max="8454" width="11" style="124" customWidth="1"/>
    <col min="8455" max="8455" width="77.140625" style="124" customWidth="1"/>
    <col min="8456" max="8456" width="11.5703125" style="124" customWidth="1"/>
    <col min="8457" max="8457" width="9.28515625" style="124" bestFit="1" customWidth="1"/>
    <col min="8458" max="8458" width="16.5703125" style="124" bestFit="1" customWidth="1"/>
    <col min="8459" max="8459" width="16" style="124" customWidth="1"/>
    <col min="8460" max="8460" width="13.7109375" style="124" customWidth="1"/>
    <col min="8461" max="8461" width="16.5703125" style="124" customWidth="1"/>
    <col min="8462" max="8462" width="14.28515625" style="124" customWidth="1"/>
    <col min="8463" max="8463" width="16.5703125" style="124" customWidth="1"/>
    <col min="8464" max="8464" width="13.140625" style="124" customWidth="1"/>
    <col min="8465" max="8465" width="15.85546875" style="124" customWidth="1"/>
    <col min="8466" max="8467" width="3.5703125" style="124" customWidth="1"/>
    <col min="8468" max="8706" width="15.42578125" style="124"/>
    <col min="8707" max="8708" width="3.42578125" style="124" customWidth="1"/>
    <col min="8709" max="8709" width="9.5703125" style="124" customWidth="1"/>
    <col min="8710" max="8710" width="11" style="124" customWidth="1"/>
    <col min="8711" max="8711" width="77.140625" style="124" customWidth="1"/>
    <col min="8712" max="8712" width="11.5703125" style="124" customWidth="1"/>
    <col min="8713" max="8713" width="9.28515625" style="124" bestFit="1" customWidth="1"/>
    <col min="8714" max="8714" width="16.5703125" style="124" bestFit="1" customWidth="1"/>
    <col min="8715" max="8715" width="16" style="124" customWidth="1"/>
    <col min="8716" max="8716" width="13.7109375" style="124" customWidth="1"/>
    <col min="8717" max="8717" width="16.5703125" style="124" customWidth="1"/>
    <col min="8718" max="8718" width="14.28515625" style="124" customWidth="1"/>
    <col min="8719" max="8719" width="16.5703125" style="124" customWidth="1"/>
    <col min="8720" max="8720" width="13.140625" style="124" customWidth="1"/>
    <col min="8721" max="8721" width="15.85546875" style="124" customWidth="1"/>
    <col min="8722" max="8723" width="3.5703125" style="124" customWidth="1"/>
    <col min="8724" max="8962" width="15.42578125" style="124"/>
    <col min="8963" max="8964" width="3.42578125" style="124" customWidth="1"/>
    <col min="8965" max="8965" width="9.5703125" style="124" customWidth="1"/>
    <col min="8966" max="8966" width="11" style="124" customWidth="1"/>
    <col min="8967" max="8967" width="77.140625" style="124" customWidth="1"/>
    <col min="8968" max="8968" width="11.5703125" style="124" customWidth="1"/>
    <col min="8969" max="8969" width="9.28515625" style="124" bestFit="1" customWidth="1"/>
    <col min="8970" max="8970" width="16.5703125" style="124" bestFit="1" customWidth="1"/>
    <col min="8971" max="8971" width="16" style="124" customWidth="1"/>
    <col min="8972" max="8972" width="13.7109375" style="124" customWidth="1"/>
    <col min="8973" max="8973" width="16.5703125" style="124" customWidth="1"/>
    <col min="8974" max="8974" width="14.28515625" style="124" customWidth="1"/>
    <col min="8975" max="8975" width="16.5703125" style="124" customWidth="1"/>
    <col min="8976" max="8976" width="13.140625" style="124" customWidth="1"/>
    <col min="8977" max="8977" width="15.85546875" style="124" customWidth="1"/>
    <col min="8978" max="8979" width="3.5703125" style="124" customWidth="1"/>
    <col min="8980" max="9218" width="15.42578125" style="124"/>
    <col min="9219" max="9220" width="3.42578125" style="124" customWidth="1"/>
    <col min="9221" max="9221" width="9.5703125" style="124" customWidth="1"/>
    <col min="9222" max="9222" width="11" style="124" customWidth="1"/>
    <col min="9223" max="9223" width="77.140625" style="124" customWidth="1"/>
    <col min="9224" max="9224" width="11.5703125" style="124" customWidth="1"/>
    <col min="9225" max="9225" width="9.28515625" style="124" bestFit="1" customWidth="1"/>
    <col min="9226" max="9226" width="16.5703125" style="124" bestFit="1" customWidth="1"/>
    <col min="9227" max="9227" width="16" style="124" customWidth="1"/>
    <col min="9228" max="9228" width="13.7109375" style="124" customWidth="1"/>
    <col min="9229" max="9229" width="16.5703125" style="124" customWidth="1"/>
    <col min="9230" max="9230" width="14.28515625" style="124" customWidth="1"/>
    <col min="9231" max="9231" width="16.5703125" style="124" customWidth="1"/>
    <col min="9232" max="9232" width="13.140625" style="124" customWidth="1"/>
    <col min="9233" max="9233" width="15.85546875" style="124" customWidth="1"/>
    <col min="9234" max="9235" width="3.5703125" style="124" customWidth="1"/>
    <col min="9236" max="9474" width="15.42578125" style="124"/>
    <col min="9475" max="9476" width="3.42578125" style="124" customWidth="1"/>
    <col min="9477" max="9477" width="9.5703125" style="124" customWidth="1"/>
    <col min="9478" max="9478" width="11" style="124" customWidth="1"/>
    <col min="9479" max="9479" width="77.140625" style="124" customWidth="1"/>
    <col min="9480" max="9480" width="11.5703125" style="124" customWidth="1"/>
    <col min="9481" max="9481" width="9.28515625" style="124" bestFit="1" customWidth="1"/>
    <col min="9482" max="9482" width="16.5703125" style="124" bestFit="1" customWidth="1"/>
    <col min="9483" max="9483" width="16" style="124" customWidth="1"/>
    <col min="9484" max="9484" width="13.7109375" style="124" customWidth="1"/>
    <col min="9485" max="9485" width="16.5703125" style="124" customWidth="1"/>
    <col min="9486" max="9486" width="14.28515625" style="124" customWidth="1"/>
    <col min="9487" max="9487" width="16.5703125" style="124" customWidth="1"/>
    <col min="9488" max="9488" width="13.140625" style="124" customWidth="1"/>
    <col min="9489" max="9489" width="15.85546875" style="124" customWidth="1"/>
    <col min="9490" max="9491" width="3.5703125" style="124" customWidth="1"/>
    <col min="9492" max="9730" width="15.42578125" style="124"/>
    <col min="9731" max="9732" width="3.42578125" style="124" customWidth="1"/>
    <col min="9733" max="9733" width="9.5703125" style="124" customWidth="1"/>
    <col min="9734" max="9734" width="11" style="124" customWidth="1"/>
    <col min="9735" max="9735" width="77.140625" style="124" customWidth="1"/>
    <col min="9736" max="9736" width="11.5703125" style="124" customWidth="1"/>
    <col min="9737" max="9737" width="9.28515625" style="124" bestFit="1" customWidth="1"/>
    <col min="9738" max="9738" width="16.5703125" style="124" bestFit="1" customWidth="1"/>
    <col min="9739" max="9739" width="16" style="124" customWidth="1"/>
    <col min="9740" max="9740" width="13.7109375" style="124" customWidth="1"/>
    <col min="9741" max="9741" width="16.5703125" style="124" customWidth="1"/>
    <col min="9742" max="9742" width="14.28515625" style="124" customWidth="1"/>
    <col min="9743" max="9743" width="16.5703125" style="124" customWidth="1"/>
    <col min="9744" max="9744" width="13.140625" style="124" customWidth="1"/>
    <col min="9745" max="9745" width="15.85546875" style="124" customWidth="1"/>
    <col min="9746" max="9747" width="3.5703125" style="124" customWidth="1"/>
    <col min="9748" max="9986" width="15.42578125" style="124"/>
    <col min="9987" max="9988" width="3.42578125" style="124" customWidth="1"/>
    <col min="9989" max="9989" width="9.5703125" style="124" customWidth="1"/>
    <col min="9990" max="9990" width="11" style="124" customWidth="1"/>
    <col min="9991" max="9991" width="77.140625" style="124" customWidth="1"/>
    <col min="9992" max="9992" width="11.5703125" style="124" customWidth="1"/>
    <col min="9993" max="9993" width="9.28515625" style="124" bestFit="1" customWidth="1"/>
    <col min="9994" max="9994" width="16.5703125" style="124" bestFit="1" customWidth="1"/>
    <col min="9995" max="9995" width="16" style="124" customWidth="1"/>
    <col min="9996" max="9996" width="13.7109375" style="124" customWidth="1"/>
    <col min="9997" max="9997" width="16.5703125" style="124" customWidth="1"/>
    <col min="9998" max="9998" width="14.28515625" style="124" customWidth="1"/>
    <col min="9999" max="9999" width="16.5703125" style="124" customWidth="1"/>
    <col min="10000" max="10000" width="13.140625" style="124" customWidth="1"/>
    <col min="10001" max="10001" width="15.85546875" style="124" customWidth="1"/>
    <col min="10002" max="10003" width="3.5703125" style="124" customWidth="1"/>
    <col min="10004" max="10242" width="15.42578125" style="124"/>
    <col min="10243" max="10244" width="3.42578125" style="124" customWidth="1"/>
    <col min="10245" max="10245" width="9.5703125" style="124" customWidth="1"/>
    <col min="10246" max="10246" width="11" style="124" customWidth="1"/>
    <col min="10247" max="10247" width="77.140625" style="124" customWidth="1"/>
    <col min="10248" max="10248" width="11.5703125" style="124" customWidth="1"/>
    <col min="10249" max="10249" width="9.28515625" style="124" bestFit="1" customWidth="1"/>
    <col min="10250" max="10250" width="16.5703125" style="124" bestFit="1" customWidth="1"/>
    <col min="10251" max="10251" width="16" style="124" customWidth="1"/>
    <col min="10252" max="10252" width="13.7109375" style="124" customWidth="1"/>
    <col min="10253" max="10253" width="16.5703125" style="124" customWidth="1"/>
    <col min="10254" max="10254" width="14.28515625" style="124" customWidth="1"/>
    <col min="10255" max="10255" width="16.5703125" style="124" customWidth="1"/>
    <col min="10256" max="10256" width="13.140625" style="124" customWidth="1"/>
    <col min="10257" max="10257" width="15.85546875" style="124" customWidth="1"/>
    <col min="10258" max="10259" width="3.5703125" style="124" customWidth="1"/>
    <col min="10260" max="10498" width="15.42578125" style="124"/>
    <col min="10499" max="10500" width="3.42578125" style="124" customWidth="1"/>
    <col min="10501" max="10501" width="9.5703125" style="124" customWidth="1"/>
    <col min="10502" max="10502" width="11" style="124" customWidth="1"/>
    <col min="10503" max="10503" width="77.140625" style="124" customWidth="1"/>
    <col min="10504" max="10504" width="11.5703125" style="124" customWidth="1"/>
    <col min="10505" max="10505" width="9.28515625" style="124" bestFit="1" customWidth="1"/>
    <col min="10506" max="10506" width="16.5703125" style="124" bestFit="1" customWidth="1"/>
    <col min="10507" max="10507" width="16" style="124" customWidth="1"/>
    <col min="10508" max="10508" width="13.7109375" style="124" customWidth="1"/>
    <col min="10509" max="10509" width="16.5703125" style="124" customWidth="1"/>
    <col min="10510" max="10510" width="14.28515625" style="124" customWidth="1"/>
    <col min="10511" max="10511" width="16.5703125" style="124" customWidth="1"/>
    <col min="10512" max="10512" width="13.140625" style="124" customWidth="1"/>
    <col min="10513" max="10513" width="15.85546875" style="124" customWidth="1"/>
    <col min="10514" max="10515" width="3.5703125" style="124" customWidth="1"/>
    <col min="10516" max="10754" width="15.42578125" style="124"/>
    <col min="10755" max="10756" width="3.42578125" style="124" customWidth="1"/>
    <col min="10757" max="10757" width="9.5703125" style="124" customWidth="1"/>
    <col min="10758" max="10758" width="11" style="124" customWidth="1"/>
    <col min="10759" max="10759" width="77.140625" style="124" customWidth="1"/>
    <col min="10760" max="10760" width="11.5703125" style="124" customWidth="1"/>
    <col min="10761" max="10761" width="9.28515625" style="124" bestFit="1" customWidth="1"/>
    <col min="10762" max="10762" width="16.5703125" style="124" bestFit="1" customWidth="1"/>
    <col min="10763" max="10763" width="16" style="124" customWidth="1"/>
    <col min="10764" max="10764" width="13.7109375" style="124" customWidth="1"/>
    <col min="10765" max="10765" width="16.5703125" style="124" customWidth="1"/>
    <col min="10766" max="10766" width="14.28515625" style="124" customWidth="1"/>
    <col min="10767" max="10767" width="16.5703125" style="124" customWidth="1"/>
    <col min="10768" max="10768" width="13.140625" style="124" customWidth="1"/>
    <col min="10769" max="10769" width="15.85546875" style="124" customWidth="1"/>
    <col min="10770" max="10771" width="3.5703125" style="124" customWidth="1"/>
    <col min="10772" max="11010" width="15.42578125" style="124"/>
    <col min="11011" max="11012" width="3.42578125" style="124" customWidth="1"/>
    <col min="11013" max="11013" width="9.5703125" style="124" customWidth="1"/>
    <col min="11014" max="11014" width="11" style="124" customWidth="1"/>
    <col min="11015" max="11015" width="77.140625" style="124" customWidth="1"/>
    <col min="11016" max="11016" width="11.5703125" style="124" customWidth="1"/>
    <col min="11017" max="11017" width="9.28515625" style="124" bestFit="1" customWidth="1"/>
    <col min="11018" max="11018" width="16.5703125" style="124" bestFit="1" customWidth="1"/>
    <col min="11019" max="11019" width="16" style="124" customWidth="1"/>
    <col min="11020" max="11020" width="13.7109375" style="124" customWidth="1"/>
    <col min="11021" max="11021" width="16.5703125" style="124" customWidth="1"/>
    <col min="11022" max="11022" width="14.28515625" style="124" customWidth="1"/>
    <col min="11023" max="11023" width="16.5703125" style="124" customWidth="1"/>
    <col min="11024" max="11024" width="13.140625" style="124" customWidth="1"/>
    <col min="11025" max="11025" width="15.85546875" style="124" customWidth="1"/>
    <col min="11026" max="11027" width="3.5703125" style="124" customWidth="1"/>
    <col min="11028" max="11266" width="15.42578125" style="124"/>
    <col min="11267" max="11268" width="3.42578125" style="124" customWidth="1"/>
    <col min="11269" max="11269" width="9.5703125" style="124" customWidth="1"/>
    <col min="11270" max="11270" width="11" style="124" customWidth="1"/>
    <col min="11271" max="11271" width="77.140625" style="124" customWidth="1"/>
    <col min="11272" max="11272" width="11.5703125" style="124" customWidth="1"/>
    <col min="11273" max="11273" width="9.28515625" style="124" bestFit="1" customWidth="1"/>
    <col min="11274" max="11274" width="16.5703125" style="124" bestFit="1" customWidth="1"/>
    <col min="11275" max="11275" width="16" style="124" customWidth="1"/>
    <col min="11276" max="11276" width="13.7109375" style="124" customWidth="1"/>
    <col min="11277" max="11277" width="16.5703125" style="124" customWidth="1"/>
    <col min="11278" max="11278" width="14.28515625" style="124" customWidth="1"/>
    <col min="11279" max="11279" width="16.5703125" style="124" customWidth="1"/>
    <col min="11280" max="11280" width="13.140625" style="124" customWidth="1"/>
    <col min="11281" max="11281" width="15.85546875" style="124" customWidth="1"/>
    <col min="11282" max="11283" width="3.5703125" style="124" customWidth="1"/>
    <col min="11284" max="11522" width="15.42578125" style="124"/>
    <col min="11523" max="11524" width="3.42578125" style="124" customWidth="1"/>
    <col min="11525" max="11525" width="9.5703125" style="124" customWidth="1"/>
    <col min="11526" max="11526" width="11" style="124" customWidth="1"/>
    <col min="11527" max="11527" width="77.140625" style="124" customWidth="1"/>
    <col min="11528" max="11528" width="11.5703125" style="124" customWidth="1"/>
    <col min="11529" max="11529" width="9.28515625" style="124" bestFit="1" customWidth="1"/>
    <col min="11530" max="11530" width="16.5703125" style="124" bestFit="1" customWidth="1"/>
    <col min="11531" max="11531" width="16" style="124" customWidth="1"/>
    <col min="11532" max="11532" width="13.7109375" style="124" customWidth="1"/>
    <col min="11533" max="11533" width="16.5703125" style="124" customWidth="1"/>
    <col min="11534" max="11534" width="14.28515625" style="124" customWidth="1"/>
    <col min="11535" max="11535" width="16.5703125" style="124" customWidth="1"/>
    <col min="11536" max="11536" width="13.140625" style="124" customWidth="1"/>
    <col min="11537" max="11537" width="15.85546875" style="124" customWidth="1"/>
    <col min="11538" max="11539" width="3.5703125" style="124" customWidth="1"/>
    <col min="11540" max="11778" width="15.42578125" style="124"/>
    <col min="11779" max="11780" width="3.42578125" style="124" customWidth="1"/>
    <col min="11781" max="11781" width="9.5703125" style="124" customWidth="1"/>
    <col min="11782" max="11782" width="11" style="124" customWidth="1"/>
    <col min="11783" max="11783" width="77.140625" style="124" customWidth="1"/>
    <col min="11784" max="11784" width="11.5703125" style="124" customWidth="1"/>
    <col min="11785" max="11785" width="9.28515625" style="124" bestFit="1" customWidth="1"/>
    <col min="11786" max="11786" width="16.5703125" style="124" bestFit="1" customWidth="1"/>
    <col min="11787" max="11787" width="16" style="124" customWidth="1"/>
    <col min="11788" max="11788" width="13.7109375" style="124" customWidth="1"/>
    <col min="11789" max="11789" width="16.5703125" style="124" customWidth="1"/>
    <col min="11790" max="11790" width="14.28515625" style="124" customWidth="1"/>
    <col min="11791" max="11791" width="16.5703125" style="124" customWidth="1"/>
    <col min="11792" max="11792" width="13.140625" style="124" customWidth="1"/>
    <col min="11793" max="11793" width="15.85546875" style="124" customWidth="1"/>
    <col min="11794" max="11795" width="3.5703125" style="124" customWidth="1"/>
    <col min="11796" max="12034" width="15.42578125" style="124"/>
    <col min="12035" max="12036" width="3.42578125" style="124" customWidth="1"/>
    <col min="12037" max="12037" width="9.5703125" style="124" customWidth="1"/>
    <col min="12038" max="12038" width="11" style="124" customWidth="1"/>
    <col min="12039" max="12039" width="77.140625" style="124" customWidth="1"/>
    <col min="12040" max="12040" width="11.5703125" style="124" customWidth="1"/>
    <col min="12041" max="12041" width="9.28515625" style="124" bestFit="1" customWidth="1"/>
    <col min="12042" max="12042" width="16.5703125" style="124" bestFit="1" customWidth="1"/>
    <col min="12043" max="12043" width="16" style="124" customWidth="1"/>
    <col min="12044" max="12044" width="13.7109375" style="124" customWidth="1"/>
    <col min="12045" max="12045" width="16.5703125" style="124" customWidth="1"/>
    <col min="12046" max="12046" width="14.28515625" style="124" customWidth="1"/>
    <col min="12047" max="12047" width="16.5703125" style="124" customWidth="1"/>
    <col min="12048" max="12048" width="13.140625" style="124" customWidth="1"/>
    <col min="12049" max="12049" width="15.85546875" style="124" customWidth="1"/>
    <col min="12050" max="12051" width="3.5703125" style="124" customWidth="1"/>
    <col min="12052" max="12290" width="15.42578125" style="124"/>
    <col min="12291" max="12292" width="3.42578125" style="124" customWidth="1"/>
    <col min="12293" max="12293" width="9.5703125" style="124" customWidth="1"/>
    <col min="12294" max="12294" width="11" style="124" customWidth="1"/>
    <col min="12295" max="12295" width="77.140625" style="124" customWidth="1"/>
    <col min="12296" max="12296" width="11.5703125" style="124" customWidth="1"/>
    <col min="12297" max="12297" width="9.28515625" style="124" bestFit="1" customWidth="1"/>
    <col min="12298" max="12298" width="16.5703125" style="124" bestFit="1" customWidth="1"/>
    <col min="12299" max="12299" width="16" style="124" customWidth="1"/>
    <col min="12300" max="12300" width="13.7109375" style="124" customWidth="1"/>
    <col min="12301" max="12301" width="16.5703125" style="124" customWidth="1"/>
    <col min="12302" max="12302" width="14.28515625" style="124" customWidth="1"/>
    <col min="12303" max="12303" width="16.5703125" style="124" customWidth="1"/>
    <col min="12304" max="12304" width="13.140625" style="124" customWidth="1"/>
    <col min="12305" max="12305" width="15.85546875" style="124" customWidth="1"/>
    <col min="12306" max="12307" width="3.5703125" style="124" customWidth="1"/>
    <col min="12308" max="12546" width="15.42578125" style="124"/>
    <col min="12547" max="12548" width="3.42578125" style="124" customWidth="1"/>
    <col min="12549" max="12549" width="9.5703125" style="124" customWidth="1"/>
    <col min="12550" max="12550" width="11" style="124" customWidth="1"/>
    <col min="12551" max="12551" width="77.140625" style="124" customWidth="1"/>
    <col min="12552" max="12552" width="11.5703125" style="124" customWidth="1"/>
    <col min="12553" max="12553" width="9.28515625" style="124" bestFit="1" customWidth="1"/>
    <col min="12554" max="12554" width="16.5703125" style="124" bestFit="1" customWidth="1"/>
    <col min="12555" max="12555" width="16" style="124" customWidth="1"/>
    <col min="12556" max="12556" width="13.7109375" style="124" customWidth="1"/>
    <col min="12557" max="12557" width="16.5703125" style="124" customWidth="1"/>
    <col min="12558" max="12558" width="14.28515625" style="124" customWidth="1"/>
    <col min="12559" max="12559" width="16.5703125" style="124" customWidth="1"/>
    <col min="12560" max="12560" width="13.140625" style="124" customWidth="1"/>
    <col min="12561" max="12561" width="15.85546875" style="124" customWidth="1"/>
    <col min="12562" max="12563" width="3.5703125" style="124" customWidth="1"/>
    <col min="12564" max="12802" width="15.42578125" style="124"/>
    <col min="12803" max="12804" width="3.42578125" style="124" customWidth="1"/>
    <col min="12805" max="12805" width="9.5703125" style="124" customWidth="1"/>
    <col min="12806" max="12806" width="11" style="124" customWidth="1"/>
    <col min="12807" max="12807" width="77.140625" style="124" customWidth="1"/>
    <col min="12808" max="12808" width="11.5703125" style="124" customWidth="1"/>
    <col min="12809" max="12809" width="9.28515625" style="124" bestFit="1" customWidth="1"/>
    <col min="12810" max="12810" width="16.5703125" style="124" bestFit="1" customWidth="1"/>
    <col min="12811" max="12811" width="16" style="124" customWidth="1"/>
    <col min="12812" max="12812" width="13.7109375" style="124" customWidth="1"/>
    <col min="12813" max="12813" width="16.5703125" style="124" customWidth="1"/>
    <col min="12814" max="12814" width="14.28515625" style="124" customWidth="1"/>
    <col min="12815" max="12815" width="16.5703125" style="124" customWidth="1"/>
    <col min="12816" max="12816" width="13.140625" style="124" customWidth="1"/>
    <col min="12817" max="12817" width="15.85546875" style="124" customWidth="1"/>
    <col min="12818" max="12819" width="3.5703125" style="124" customWidth="1"/>
    <col min="12820" max="13058" width="15.42578125" style="124"/>
    <col min="13059" max="13060" width="3.42578125" style="124" customWidth="1"/>
    <col min="13061" max="13061" width="9.5703125" style="124" customWidth="1"/>
    <col min="13062" max="13062" width="11" style="124" customWidth="1"/>
    <col min="13063" max="13063" width="77.140625" style="124" customWidth="1"/>
    <col min="13064" max="13064" width="11.5703125" style="124" customWidth="1"/>
    <col min="13065" max="13065" width="9.28515625" style="124" bestFit="1" customWidth="1"/>
    <col min="13066" max="13066" width="16.5703125" style="124" bestFit="1" customWidth="1"/>
    <col min="13067" max="13067" width="16" style="124" customWidth="1"/>
    <col min="13068" max="13068" width="13.7109375" style="124" customWidth="1"/>
    <col min="13069" max="13069" width="16.5703125" style="124" customWidth="1"/>
    <col min="13070" max="13070" width="14.28515625" style="124" customWidth="1"/>
    <col min="13071" max="13071" width="16.5703125" style="124" customWidth="1"/>
    <col min="13072" max="13072" width="13.140625" style="124" customWidth="1"/>
    <col min="13073" max="13073" width="15.85546875" style="124" customWidth="1"/>
    <col min="13074" max="13075" width="3.5703125" style="124" customWidth="1"/>
    <col min="13076" max="13314" width="15.42578125" style="124"/>
    <col min="13315" max="13316" width="3.42578125" style="124" customWidth="1"/>
    <col min="13317" max="13317" width="9.5703125" style="124" customWidth="1"/>
    <col min="13318" max="13318" width="11" style="124" customWidth="1"/>
    <col min="13319" max="13319" width="77.140625" style="124" customWidth="1"/>
    <col min="13320" max="13320" width="11.5703125" style="124" customWidth="1"/>
    <col min="13321" max="13321" width="9.28515625" style="124" bestFit="1" customWidth="1"/>
    <col min="13322" max="13322" width="16.5703125" style="124" bestFit="1" customWidth="1"/>
    <col min="13323" max="13323" width="16" style="124" customWidth="1"/>
    <col min="13324" max="13324" width="13.7109375" style="124" customWidth="1"/>
    <col min="13325" max="13325" width="16.5703125" style="124" customWidth="1"/>
    <col min="13326" max="13326" width="14.28515625" style="124" customWidth="1"/>
    <col min="13327" max="13327" width="16.5703125" style="124" customWidth="1"/>
    <col min="13328" max="13328" width="13.140625" style="124" customWidth="1"/>
    <col min="13329" max="13329" width="15.85546875" style="124" customWidth="1"/>
    <col min="13330" max="13331" width="3.5703125" style="124" customWidth="1"/>
    <col min="13332" max="13570" width="15.42578125" style="124"/>
    <col min="13571" max="13572" width="3.42578125" style="124" customWidth="1"/>
    <col min="13573" max="13573" width="9.5703125" style="124" customWidth="1"/>
    <col min="13574" max="13574" width="11" style="124" customWidth="1"/>
    <col min="13575" max="13575" width="77.140625" style="124" customWidth="1"/>
    <col min="13576" max="13576" width="11.5703125" style="124" customWidth="1"/>
    <col min="13577" max="13577" width="9.28515625" style="124" bestFit="1" customWidth="1"/>
    <col min="13578" max="13578" width="16.5703125" style="124" bestFit="1" customWidth="1"/>
    <col min="13579" max="13579" width="16" style="124" customWidth="1"/>
    <col min="13580" max="13580" width="13.7109375" style="124" customWidth="1"/>
    <col min="13581" max="13581" width="16.5703125" style="124" customWidth="1"/>
    <col min="13582" max="13582" width="14.28515625" style="124" customWidth="1"/>
    <col min="13583" max="13583" width="16.5703125" style="124" customWidth="1"/>
    <col min="13584" max="13584" width="13.140625" style="124" customWidth="1"/>
    <col min="13585" max="13585" width="15.85546875" style="124" customWidth="1"/>
    <col min="13586" max="13587" width="3.5703125" style="124" customWidth="1"/>
    <col min="13588" max="13826" width="15.42578125" style="124"/>
    <col min="13827" max="13828" width="3.42578125" style="124" customWidth="1"/>
    <col min="13829" max="13829" width="9.5703125" style="124" customWidth="1"/>
    <col min="13830" max="13830" width="11" style="124" customWidth="1"/>
    <col min="13831" max="13831" width="77.140625" style="124" customWidth="1"/>
    <col min="13832" max="13832" width="11.5703125" style="124" customWidth="1"/>
    <col min="13833" max="13833" width="9.28515625" style="124" bestFit="1" customWidth="1"/>
    <col min="13834" max="13834" width="16.5703125" style="124" bestFit="1" customWidth="1"/>
    <col min="13835" max="13835" width="16" style="124" customWidth="1"/>
    <col min="13836" max="13836" width="13.7109375" style="124" customWidth="1"/>
    <col min="13837" max="13837" width="16.5703125" style="124" customWidth="1"/>
    <col min="13838" max="13838" width="14.28515625" style="124" customWidth="1"/>
    <col min="13839" max="13839" width="16.5703125" style="124" customWidth="1"/>
    <col min="13840" max="13840" width="13.140625" style="124" customWidth="1"/>
    <col min="13841" max="13841" width="15.85546875" style="124" customWidth="1"/>
    <col min="13842" max="13843" width="3.5703125" style="124" customWidth="1"/>
    <col min="13844" max="14082" width="15.42578125" style="124"/>
    <col min="14083" max="14084" width="3.42578125" style="124" customWidth="1"/>
    <col min="14085" max="14085" width="9.5703125" style="124" customWidth="1"/>
    <col min="14086" max="14086" width="11" style="124" customWidth="1"/>
    <col min="14087" max="14087" width="77.140625" style="124" customWidth="1"/>
    <col min="14088" max="14088" width="11.5703125" style="124" customWidth="1"/>
    <col min="14089" max="14089" width="9.28515625" style="124" bestFit="1" customWidth="1"/>
    <col min="14090" max="14090" width="16.5703125" style="124" bestFit="1" customWidth="1"/>
    <col min="14091" max="14091" width="16" style="124" customWidth="1"/>
    <col min="14092" max="14092" width="13.7109375" style="124" customWidth="1"/>
    <col min="14093" max="14093" width="16.5703125" style="124" customWidth="1"/>
    <col min="14094" max="14094" width="14.28515625" style="124" customWidth="1"/>
    <col min="14095" max="14095" width="16.5703125" style="124" customWidth="1"/>
    <col min="14096" max="14096" width="13.140625" style="124" customWidth="1"/>
    <col min="14097" max="14097" width="15.85546875" style="124" customWidth="1"/>
    <col min="14098" max="14099" width="3.5703125" style="124" customWidth="1"/>
    <col min="14100" max="14338" width="15.42578125" style="124"/>
    <col min="14339" max="14340" width="3.42578125" style="124" customWidth="1"/>
    <col min="14341" max="14341" width="9.5703125" style="124" customWidth="1"/>
    <col min="14342" max="14342" width="11" style="124" customWidth="1"/>
    <col min="14343" max="14343" width="77.140625" style="124" customWidth="1"/>
    <col min="14344" max="14344" width="11.5703125" style="124" customWidth="1"/>
    <col min="14345" max="14345" width="9.28515625" style="124" bestFit="1" customWidth="1"/>
    <col min="14346" max="14346" width="16.5703125" style="124" bestFit="1" customWidth="1"/>
    <col min="14347" max="14347" width="16" style="124" customWidth="1"/>
    <col min="14348" max="14348" width="13.7109375" style="124" customWidth="1"/>
    <col min="14349" max="14349" width="16.5703125" style="124" customWidth="1"/>
    <col min="14350" max="14350" width="14.28515625" style="124" customWidth="1"/>
    <col min="14351" max="14351" width="16.5703125" style="124" customWidth="1"/>
    <col min="14352" max="14352" width="13.140625" style="124" customWidth="1"/>
    <col min="14353" max="14353" width="15.85546875" style="124" customWidth="1"/>
    <col min="14354" max="14355" width="3.5703125" style="124" customWidth="1"/>
    <col min="14356" max="14594" width="15.42578125" style="124"/>
    <col min="14595" max="14596" width="3.42578125" style="124" customWidth="1"/>
    <col min="14597" max="14597" width="9.5703125" style="124" customWidth="1"/>
    <col min="14598" max="14598" width="11" style="124" customWidth="1"/>
    <col min="14599" max="14599" width="77.140625" style="124" customWidth="1"/>
    <col min="14600" max="14600" width="11.5703125" style="124" customWidth="1"/>
    <col min="14601" max="14601" width="9.28515625" style="124" bestFit="1" customWidth="1"/>
    <col min="14602" max="14602" width="16.5703125" style="124" bestFit="1" customWidth="1"/>
    <col min="14603" max="14603" width="16" style="124" customWidth="1"/>
    <col min="14604" max="14604" width="13.7109375" style="124" customWidth="1"/>
    <col min="14605" max="14605" width="16.5703125" style="124" customWidth="1"/>
    <col min="14606" max="14606" width="14.28515625" style="124" customWidth="1"/>
    <col min="14607" max="14607" width="16.5703125" style="124" customWidth="1"/>
    <col min="14608" max="14608" width="13.140625" style="124" customWidth="1"/>
    <col min="14609" max="14609" width="15.85546875" style="124" customWidth="1"/>
    <col min="14610" max="14611" width="3.5703125" style="124" customWidth="1"/>
    <col min="14612" max="14850" width="15.42578125" style="124"/>
    <col min="14851" max="14852" width="3.42578125" style="124" customWidth="1"/>
    <col min="14853" max="14853" width="9.5703125" style="124" customWidth="1"/>
    <col min="14854" max="14854" width="11" style="124" customWidth="1"/>
    <col min="14855" max="14855" width="77.140625" style="124" customWidth="1"/>
    <col min="14856" max="14856" width="11.5703125" style="124" customWidth="1"/>
    <col min="14857" max="14857" width="9.28515625" style="124" bestFit="1" customWidth="1"/>
    <col min="14858" max="14858" width="16.5703125" style="124" bestFit="1" customWidth="1"/>
    <col min="14859" max="14859" width="16" style="124" customWidth="1"/>
    <col min="14860" max="14860" width="13.7109375" style="124" customWidth="1"/>
    <col min="14861" max="14861" width="16.5703125" style="124" customWidth="1"/>
    <col min="14862" max="14862" width="14.28515625" style="124" customWidth="1"/>
    <col min="14863" max="14863" width="16.5703125" style="124" customWidth="1"/>
    <col min="14864" max="14864" width="13.140625" style="124" customWidth="1"/>
    <col min="14865" max="14865" width="15.85546875" style="124" customWidth="1"/>
    <col min="14866" max="14867" width="3.5703125" style="124" customWidth="1"/>
    <col min="14868" max="15106" width="15.42578125" style="124"/>
    <col min="15107" max="15108" width="3.42578125" style="124" customWidth="1"/>
    <col min="15109" max="15109" width="9.5703125" style="124" customWidth="1"/>
    <col min="15110" max="15110" width="11" style="124" customWidth="1"/>
    <col min="15111" max="15111" width="77.140625" style="124" customWidth="1"/>
    <col min="15112" max="15112" width="11.5703125" style="124" customWidth="1"/>
    <col min="15113" max="15113" width="9.28515625" style="124" bestFit="1" customWidth="1"/>
    <col min="15114" max="15114" width="16.5703125" style="124" bestFit="1" customWidth="1"/>
    <col min="15115" max="15115" width="16" style="124" customWidth="1"/>
    <col min="15116" max="15116" width="13.7109375" style="124" customWidth="1"/>
    <col min="15117" max="15117" width="16.5703125" style="124" customWidth="1"/>
    <col min="15118" max="15118" width="14.28515625" style="124" customWidth="1"/>
    <col min="15119" max="15119" width="16.5703125" style="124" customWidth="1"/>
    <col min="15120" max="15120" width="13.140625" style="124" customWidth="1"/>
    <col min="15121" max="15121" width="15.85546875" style="124" customWidth="1"/>
    <col min="15122" max="15123" width="3.5703125" style="124" customWidth="1"/>
    <col min="15124" max="15362" width="15.42578125" style="124"/>
    <col min="15363" max="15364" width="3.42578125" style="124" customWidth="1"/>
    <col min="15365" max="15365" width="9.5703125" style="124" customWidth="1"/>
    <col min="15366" max="15366" width="11" style="124" customWidth="1"/>
    <col min="15367" max="15367" width="77.140625" style="124" customWidth="1"/>
    <col min="15368" max="15368" width="11.5703125" style="124" customWidth="1"/>
    <col min="15369" max="15369" width="9.28515625" style="124" bestFit="1" customWidth="1"/>
    <col min="15370" max="15370" width="16.5703125" style="124" bestFit="1" customWidth="1"/>
    <col min="15371" max="15371" width="16" style="124" customWidth="1"/>
    <col min="15372" max="15372" width="13.7109375" style="124" customWidth="1"/>
    <col min="15373" max="15373" width="16.5703125" style="124" customWidth="1"/>
    <col min="15374" max="15374" width="14.28515625" style="124" customWidth="1"/>
    <col min="15375" max="15375" width="16.5703125" style="124" customWidth="1"/>
    <col min="15376" max="15376" width="13.140625" style="124" customWidth="1"/>
    <col min="15377" max="15377" width="15.85546875" style="124" customWidth="1"/>
    <col min="15378" max="15379" width="3.5703125" style="124" customWidth="1"/>
    <col min="15380" max="15618" width="15.42578125" style="124"/>
    <col min="15619" max="15620" width="3.42578125" style="124" customWidth="1"/>
    <col min="15621" max="15621" width="9.5703125" style="124" customWidth="1"/>
    <col min="15622" max="15622" width="11" style="124" customWidth="1"/>
    <col min="15623" max="15623" width="77.140625" style="124" customWidth="1"/>
    <col min="15624" max="15624" width="11.5703125" style="124" customWidth="1"/>
    <col min="15625" max="15625" width="9.28515625" style="124" bestFit="1" customWidth="1"/>
    <col min="15626" max="15626" width="16.5703125" style="124" bestFit="1" customWidth="1"/>
    <col min="15627" max="15627" width="16" style="124" customWidth="1"/>
    <col min="15628" max="15628" width="13.7109375" style="124" customWidth="1"/>
    <col min="15629" max="15629" width="16.5703125" style="124" customWidth="1"/>
    <col min="15630" max="15630" width="14.28515625" style="124" customWidth="1"/>
    <col min="15631" max="15631" width="16.5703125" style="124" customWidth="1"/>
    <col min="15632" max="15632" width="13.140625" style="124" customWidth="1"/>
    <col min="15633" max="15633" width="15.85546875" style="124" customWidth="1"/>
    <col min="15634" max="15635" width="3.5703125" style="124" customWidth="1"/>
    <col min="15636" max="15874" width="15.42578125" style="124"/>
    <col min="15875" max="15876" width="3.42578125" style="124" customWidth="1"/>
    <col min="15877" max="15877" width="9.5703125" style="124" customWidth="1"/>
    <col min="15878" max="15878" width="11" style="124" customWidth="1"/>
    <col min="15879" max="15879" width="77.140625" style="124" customWidth="1"/>
    <col min="15880" max="15880" width="11.5703125" style="124" customWidth="1"/>
    <col min="15881" max="15881" width="9.28515625" style="124" bestFit="1" customWidth="1"/>
    <col min="15882" max="15882" width="16.5703125" style="124" bestFit="1" customWidth="1"/>
    <col min="15883" max="15883" width="16" style="124" customWidth="1"/>
    <col min="15884" max="15884" width="13.7109375" style="124" customWidth="1"/>
    <col min="15885" max="15885" width="16.5703125" style="124" customWidth="1"/>
    <col min="15886" max="15886" width="14.28515625" style="124" customWidth="1"/>
    <col min="15887" max="15887" width="16.5703125" style="124" customWidth="1"/>
    <col min="15888" max="15888" width="13.140625" style="124" customWidth="1"/>
    <col min="15889" max="15889" width="15.85546875" style="124" customWidth="1"/>
    <col min="15890" max="15891" width="3.5703125" style="124" customWidth="1"/>
    <col min="15892" max="16130" width="15.42578125" style="124"/>
    <col min="16131" max="16132" width="3.42578125" style="124" customWidth="1"/>
    <col min="16133" max="16133" width="9.5703125" style="124" customWidth="1"/>
    <col min="16134" max="16134" width="11" style="124" customWidth="1"/>
    <col min="16135" max="16135" width="77.140625" style="124" customWidth="1"/>
    <col min="16136" max="16136" width="11.5703125" style="124" customWidth="1"/>
    <col min="16137" max="16137" width="9.28515625" style="124" bestFit="1" customWidth="1"/>
    <col min="16138" max="16138" width="16.5703125" style="124" bestFit="1" customWidth="1"/>
    <col min="16139" max="16139" width="16" style="124" customWidth="1"/>
    <col min="16140" max="16140" width="13.7109375" style="124" customWidth="1"/>
    <col min="16141" max="16141" width="16.5703125" style="124" customWidth="1"/>
    <col min="16142" max="16142" width="14.28515625" style="124" customWidth="1"/>
    <col min="16143" max="16143" width="16.5703125" style="124" customWidth="1"/>
    <col min="16144" max="16144" width="13.140625" style="124" customWidth="1"/>
    <col min="16145" max="16145" width="15.85546875" style="124" customWidth="1"/>
    <col min="16146" max="16147" width="3.5703125" style="124" customWidth="1"/>
    <col min="16148" max="16384" width="15.42578125" style="124"/>
  </cols>
  <sheetData>
    <row r="1" spans="2:18" ht="13.5" thickBot="1" x14ac:dyDescent="0.25"/>
    <row r="2" spans="2:18" ht="13.5" thickBot="1" x14ac:dyDescent="0.25">
      <c r="B2" s="125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7"/>
    </row>
    <row r="3" spans="2:18" ht="57.75" customHeight="1" thickBot="1" x14ac:dyDescent="0.25">
      <c r="B3" s="128"/>
      <c r="C3" s="472"/>
      <c r="D3" s="473"/>
      <c r="E3" s="474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6"/>
      <c r="R3" s="129"/>
    </row>
    <row r="4" spans="2:18" ht="15.75" customHeight="1" thickBot="1" x14ac:dyDescent="0.25">
      <c r="B4" s="128"/>
      <c r="C4" s="693"/>
      <c r="D4" s="694"/>
      <c r="E4" s="694"/>
      <c r="F4" s="694"/>
      <c r="G4" s="694"/>
      <c r="H4" s="694"/>
      <c r="I4" s="694"/>
      <c r="J4" s="694"/>
      <c r="K4" s="694"/>
      <c r="L4" s="694"/>
      <c r="M4" s="694"/>
      <c r="N4" s="694"/>
      <c r="O4" s="694"/>
      <c r="P4" s="694"/>
      <c r="Q4" s="695"/>
      <c r="R4" s="129"/>
    </row>
    <row r="5" spans="2:18" ht="24.75" customHeight="1" x14ac:dyDescent="0.2">
      <c r="B5" s="128"/>
      <c r="C5" s="407" t="s">
        <v>83</v>
      </c>
      <c r="D5" s="130"/>
      <c r="E5" s="332"/>
      <c r="F5" s="130">
        <f>Datos!B7</f>
        <v>0</v>
      </c>
      <c r="G5" s="131"/>
      <c r="H5" s="131"/>
      <c r="I5" s="131"/>
      <c r="J5" s="131"/>
      <c r="K5" s="131"/>
      <c r="L5" s="131"/>
      <c r="M5" s="131"/>
      <c r="N5" s="413" t="s">
        <v>84</v>
      </c>
      <c r="O5" s="414"/>
      <c r="P5" s="411">
        <f ca="1">TODAY()</f>
        <v>43043</v>
      </c>
      <c r="Q5" s="412"/>
      <c r="R5" s="129"/>
    </row>
    <row r="6" spans="2:18" ht="24.75" customHeight="1" x14ac:dyDescent="0.2">
      <c r="B6" s="128"/>
      <c r="C6" s="408"/>
      <c r="D6" s="334"/>
      <c r="E6" s="333"/>
      <c r="F6" s="334"/>
      <c r="G6" s="132"/>
      <c r="H6" s="132"/>
      <c r="I6" s="132"/>
      <c r="J6" s="132"/>
      <c r="K6" s="132"/>
      <c r="L6" s="132"/>
      <c r="M6" s="132"/>
      <c r="N6" s="135"/>
      <c r="O6" s="410"/>
      <c r="P6" s="696"/>
      <c r="Q6" s="697"/>
      <c r="R6" s="129"/>
    </row>
    <row r="7" spans="2:18" ht="47.1" customHeight="1" x14ac:dyDescent="0.2">
      <c r="B7" s="128"/>
      <c r="C7" s="409" t="s">
        <v>70</v>
      </c>
      <c r="D7" s="133"/>
      <c r="E7" s="330"/>
      <c r="F7" s="133">
        <f>Datos!B20</f>
        <v>0</v>
      </c>
      <c r="G7" s="132"/>
      <c r="H7" s="689" t="str">
        <f>"Estado de Pago de Devolución de Retenciones y Final, EDP N°"</f>
        <v>Estado de Pago de Devolución de Retenciones y Final, EDP N°</v>
      </c>
      <c r="I7" s="689"/>
      <c r="J7" s="689"/>
      <c r="K7" s="689"/>
      <c r="L7" s="134">
        <f>Datos!B85</f>
        <v>0</v>
      </c>
      <c r="M7" s="132"/>
      <c r="N7" s="135" t="s">
        <v>85</v>
      </c>
      <c r="O7" s="136">
        <f>Datos!B36</f>
        <v>0</v>
      </c>
      <c r="P7" s="137" t="s">
        <v>86</v>
      </c>
      <c r="Q7" s="138">
        <f>Datos!B38</f>
        <v>0</v>
      </c>
      <c r="R7" s="129"/>
    </row>
    <row r="8" spans="2:18" ht="25.5" customHeight="1" thickBot="1" x14ac:dyDescent="0.25">
      <c r="B8" s="128"/>
      <c r="C8" s="409" t="s">
        <v>87</v>
      </c>
      <c r="D8" s="331"/>
      <c r="E8" s="330"/>
      <c r="F8" s="133">
        <f>Datos!B21</f>
        <v>0</v>
      </c>
      <c r="G8" s="132"/>
      <c r="H8" s="132"/>
      <c r="I8" s="132"/>
      <c r="J8" s="132"/>
      <c r="K8" s="132"/>
      <c r="L8" s="132"/>
      <c r="M8" s="132"/>
      <c r="N8" s="415"/>
      <c r="O8" s="416"/>
      <c r="P8" s="418"/>
      <c r="Q8" s="419"/>
      <c r="R8" s="129"/>
    </row>
    <row r="9" spans="2:18" ht="30.75" customHeight="1" thickBot="1" x14ac:dyDescent="0.25">
      <c r="B9" s="128"/>
      <c r="C9" s="499" t="s">
        <v>88</v>
      </c>
      <c r="D9" s="500"/>
      <c r="E9" s="146"/>
      <c r="F9" s="139">
        <f>Datos!B8</f>
        <v>0</v>
      </c>
      <c r="G9" s="140"/>
      <c r="H9" s="140"/>
      <c r="I9" s="140"/>
      <c r="J9" s="140"/>
      <c r="K9" s="140"/>
      <c r="L9" s="140"/>
      <c r="M9" s="141"/>
      <c r="N9" s="426" t="s">
        <v>288</v>
      </c>
      <c r="O9" s="427"/>
      <c r="P9" s="423">
        <f>Datos!B42</f>
        <v>0</v>
      </c>
      <c r="Q9" s="421"/>
      <c r="R9" s="129"/>
    </row>
    <row r="10" spans="2:18" ht="28.5" customHeight="1" thickBot="1" x14ac:dyDescent="0.25">
      <c r="B10" s="128"/>
      <c r="C10" s="405" t="s">
        <v>89</v>
      </c>
      <c r="D10" s="406" t="s">
        <v>90</v>
      </c>
      <c r="E10" s="405" t="s">
        <v>91</v>
      </c>
      <c r="F10" s="406" t="s">
        <v>92</v>
      </c>
      <c r="G10" s="690" t="s">
        <v>93</v>
      </c>
      <c r="H10" s="690"/>
      <c r="I10" s="690"/>
      <c r="J10" s="691"/>
      <c r="K10" s="692" t="s">
        <v>94</v>
      </c>
      <c r="L10" s="690"/>
      <c r="M10" s="690"/>
      <c r="N10" s="428" t="s">
        <v>95</v>
      </c>
      <c r="O10" s="420"/>
      <c r="P10" s="425" t="s">
        <v>96</v>
      </c>
      <c r="Q10" s="424"/>
      <c r="R10" s="129"/>
    </row>
    <row r="11" spans="2:18" ht="20.100000000000001" customHeight="1" thickBot="1" x14ac:dyDescent="0.25">
      <c r="B11" s="128"/>
      <c r="C11" s="370"/>
      <c r="D11" s="417"/>
      <c r="E11" s="370"/>
      <c r="F11" s="142"/>
      <c r="G11" s="143" t="s">
        <v>97</v>
      </c>
      <c r="H11" s="144" t="s">
        <v>98</v>
      </c>
      <c r="I11" s="144" t="s">
        <v>99</v>
      </c>
      <c r="J11" s="145" t="s">
        <v>100</v>
      </c>
      <c r="K11" s="146" t="s">
        <v>101</v>
      </c>
      <c r="L11" s="147" t="s">
        <v>102</v>
      </c>
      <c r="M11" s="145" t="s">
        <v>103</v>
      </c>
      <c r="N11" s="328" t="s">
        <v>102</v>
      </c>
      <c r="O11" s="142" t="s">
        <v>103</v>
      </c>
      <c r="P11" s="422" t="s">
        <v>102</v>
      </c>
      <c r="Q11" s="142" t="s">
        <v>103</v>
      </c>
      <c r="R11" s="129"/>
    </row>
    <row r="12" spans="2:18" x14ac:dyDescent="0.2">
      <c r="B12" s="128"/>
      <c r="C12" s="148"/>
      <c r="D12" s="371"/>
      <c r="E12" s="386"/>
      <c r="F12" s="387"/>
      <c r="G12" s="376"/>
      <c r="H12" s="149"/>
      <c r="I12" s="150"/>
      <c r="J12" s="151"/>
      <c r="K12" s="152"/>
      <c r="L12" s="153"/>
      <c r="M12" s="154"/>
      <c r="N12" s="155"/>
      <c r="O12" s="154"/>
      <c r="P12" s="156"/>
      <c r="Q12" s="157"/>
      <c r="R12" s="129"/>
    </row>
    <row r="13" spans="2:18" x14ac:dyDescent="0.2">
      <c r="B13" s="128"/>
      <c r="C13" s="158"/>
      <c r="D13" s="372"/>
      <c r="E13" s="388"/>
      <c r="F13" s="389"/>
      <c r="G13" s="377"/>
      <c r="H13" s="180"/>
      <c r="I13" s="159"/>
      <c r="J13" s="160"/>
      <c r="K13" s="161"/>
      <c r="L13" s="162"/>
      <c r="M13" s="163"/>
      <c r="N13" s="164"/>
      <c r="O13" s="163"/>
      <c r="P13" s="315"/>
      <c r="Q13" s="316"/>
      <c r="R13" s="129"/>
    </row>
    <row r="14" spans="2:18" x14ac:dyDescent="0.2">
      <c r="B14" s="128"/>
      <c r="C14" s="158"/>
      <c r="D14" s="372" t="s">
        <v>282</v>
      </c>
      <c r="E14" s="388" t="s">
        <v>282</v>
      </c>
      <c r="F14" s="389" t="s">
        <v>281</v>
      </c>
      <c r="G14" s="377" t="s">
        <v>283</v>
      </c>
      <c r="H14" s="180">
        <v>1</v>
      </c>
      <c r="I14" s="159">
        <f>IF(L7=0,0,VLOOKUP("EDP "&amp;L7,'Ficha Contrato'!$C$34:$J$53,8,0))</f>
        <v>0</v>
      </c>
      <c r="J14" s="160">
        <f>H14*I14</f>
        <v>0</v>
      </c>
      <c r="K14" s="161"/>
      <c r="L14" s="162">
        <f>N14+P14</f>
        <v>1</v>
      </c>
      <c r="M14" s="163">
        <f>O14+Q14</f>
        <v>0</v>
      </c>
      <c r="N14" s="164"/>
      <c r="O14" s="505">
        <v>0</v>
      </c>
      <c r="P14" s="315">
        <v>1</v>
      </c>
      <c r="Q14" s="507">
        <f>P14*I14</f>
        <v>0</v>
      </c>
      <c r="R14" s="129"/>
    </row>
    <row r="15" spans="2:18" x14ac:dyDescent="0.2">
      <c r="B15" s="128"/>
      <c r="C15" s="158"/>
      <c r="D15" s="372"/>
      <c r="E15" s="388"/>
      <c r="F15" s="389"/>
      <c r="G15" s="377"/>
      <c r="H15" s="180"/>
      <c r="I15" s="159"/>
      <c r="J15" s="160"/>
      <c r="K15" s="161"/>
      <c r="L15" s="162"/>
      <c r="M15" s="163"/>
      <c r="N15" s="164"/>
      <c r="O15" s="163"/>
      <c r="P15" s="315"/>
      <c r="Q15" s="316"/>
      <c r="R15" s="129"/>
    </row>
    <row r="16" spans="2:18" x14ac:dyDescent="0.2">
      <c r="B16" s="128"/>
      <c r="C16" s="158"/>
      <c r="D16" s="372"/>
      <c r="E16" s="388"/>
      <c r="F16" s="389"/>
      <c r="G16" s="377"/>
      <c r="H16" s="180"/>
      <c r="I16" s="159"/>
      <c r="J16" s="160"/>
      <c r="K16" s="161"/>
      <c r="L16" s="162"/>
      <c r="M16" s="163"/>
      <c r="N16" s="164"/>
      <c r="O16" s="163"/>
      <c r="P16" s="315"/>
      <c r="Q16" s="316"/>
      <c r="R16" s="129"/>
    </row>
    <row r="17" spans="2:18" x14ac:dyDescent="0.2">
      <c r="B17" s="128"/>
      <c r="C17" s="158"/>
      <c r="D17" s="372"/>
      <c r="E17" s="388"/>
      <c r="F17" s="389"/>
      <c r="G17" s="377"/>
      <c r="H17" s="180"/>
      <c r="I17" s="159"/>
      <c r="J17" s="160"/>
      <c r="K17" s="161"/>
      <c r="L17" s="162"/>
      <c r="M17" s="163"/>
      <c r="N17" s="164"/>
      <c r="O17" s="163"/>
      <c r="P17" s="315"/>
      <c r="Q17" s="316"/>
      <c r="R17" s="129"/>
    </row>
    <row r="18" spans="2:18" x14ac:dyDescent="0.2">
      <c r="B18" s="128"/>
      <c r="C18" s="158"/>
      <c r="D18" s="372"/>
      <c r="E18" s="388"/>
      <c r="F18" s="389"/>
      <c r="G18" s="377"/>
      <c r="H18" s="180"/>
      <c r="I18" s="159"/>
      <c r="J18" s="160"/>
      <c r="K18" s="161"/>
      <c r="L18" s="162"/>
      <c r="M18" s="163"/>
      <c r="N18" s="164"/>
      <c r="O18" s="163"/>
      <c r="P18" s="315"/>
      <c r="Q18" s="316"/>
      <c r="R18" s="129"/>
    </row>
    <row r="19" spans="2:18" x14ac:dyDescent="0.2">
      <c r="B19" s="128"/>
      <c r="C19" s="158"/>
      <c r="D19" s="372"/>
      <c r="E19" s="388"/>
      <c r="F19" s="389"/>
      <c r="G19" s="377"/>
      <c r="H19" s="180"/>
      <c r="I19" s="159"/>
      <c r="J19" s="160"/>
      <c r="K19" s="161"/>
      <c r="L19" s="162"/>
      <c r="M19" s="163"/>
      <c r="N19" s="164"/>
      <c r="O19" s="163"/>
      <c r="P19" s="315"/>
      <c r="Q19" s="316"/>
      <c r="R19" s="129"/>
    </row>
    <row r="20" spans="2:18" x14ac:dyDescent="0.2">
      <c r="B20" s="128"/>
      <c r="C20" s="158"/>
      <c r="D20" s="372"/>
      <c r="E20" s="388"/>
      <c r="F20" s="389"/>
      <c r="G20" s="377"/>
      <c r="H20" s="180"/>
      <c r="I20" s="159"/>
      <c r="J20" s="160"/>
      <c r="K20" s="161"/>
      <c r="L20" s="162"/>
      <c r="M20" s="163"/>
      <c r="N20" s="164"/>
      <c r="O20" s="163"/>
      <c r="P20" s="315"/>
      <c r="Q20" s="316"/>
      <c r="R20" s="129"/>
    </row>
    <row r="21" spans="2:18" x14ac:dyDescent="0.2">
      <c r="B21" s="128"/>
      <c r="C21" s="158"/>
      <c r="D21" s="372"/>
      <c r="E21" s="388"/>
      <c r="F21" s="389"/>
      <c r="G21" s="377"/>
      <c r="H21" s="180"/>
      <c r="I21" s="159"/>
      <c r="J21" s="160"/>
      <c r="K21" s="161"/>
      <c r="L21" s="162"/>
      <c r="M21" s="163"/>
      <c r="N21" s="164"/>
      <c r="O21" s="163"/>
      <c r="P21" s="315"/>
      <c r="Q21" s="316"/>
      <c r="R21" s="129"/>
    </row>
    <row r="22" spans="2:18" x14ac:dyDescent="0.2">
      <c r="B22" s="128"/>
      <c r="C22" s="158"/>
      <c r="D22" s="372"/>
      <c r="E22" s="388"/>
      <c r="F22" s="389"/>
      <c r="G22" s="377"/>
      <c r="H22" s="180"/>
      <c r="I22" s="159"/>
      <c r="J22" s="160"/>
      <c r="K22" s="161"/>
      <c r="L22" s="162"/>
      <c r="M22" s="163"/>
      <c r="N22" s="164"/>
      <c r="O22" s="163"/>
      <c r="P22" s="315"/>
      <c r="Q22" s="316"/>
      <c r="R22" s="129"/>
    </row>
    <row r="23" spans="2:18" x14ac:dyDescent="0.2">
      <c r="B23" s="128"/>
      <c r="C23" s="158"/>
      <c r="D23" s="372"/>
      <c r="E23" s="388"/>
      <c r="F23" s="389"/>
      <c r="G23" s="377"/>
      <c r="H23" s="180"/>
      <c r="I23" s="159"/>
      <c r="J23" s="160"/>
      <c r="K23" s="161"/>
      <c r="L23" s="162"/>
      <c r="M23" s="163"/>
      <c r="N23" s="164"/>
      <c r="O23" s="163"/>
      <c r="P23" s="315"/>
      <c r="Q23" s="316"/>
      <c r="R23" s="129"/>
    </row>
    <row r="24" spans="2:18" x14ac:dyDescent="0.2">
      <c r="B24" s="128"/>
      <c r="C24" s="158"/>
      <c r="D24" s="372"/>
      <c r="E24" s="388"/>
      <c r="F24" s="389"/>
      <c r="G24" s="377"/>
      <c r="H24" s="180"/>
      <c r="I24" s="159"/>
      <c r="J24" s="160"/>
      <c r="K24" s="161"/>
      <c r="L24" s="162"/>
      <c r="M24" s="163"/>
      <c r="N24" s="164"/>
      <c r="O24" s="163"/>
      <c r="P24" s="315"/>
      <c r="Q24" s="316"/>
      <c r="R24" s="129"/>
    </row>
    <row r="25" spans="2:18" x14ac:dyDescent="0.2">
      <c r="B25" s="128"/>
      <c r="C25" s="158"/>
      <c r="D25" s="373"/>
      <c r="E25" s="390"/>
      <c r="F25" s="391"/>
      <c r="G25" s="378"/>
      <c r="H25" s="159"/>
      <c r="I25" s="159"/>
      <c r="J25" s="160"/>
      <c r="K25" s="161"/>
      <c r="L25" s="162"/>
      <c r="M25" s="163"/>
      <c r="N25" s="164"/>
      <c r="O25" s="163"/>
      <c r="P25" s="165"/>
      <c r="Q25" s="166"/>
      <c r="R25" s="129"/>
    </row>
    <row r="26" spans="2:18" x14ac:dyDescent="0.2">
      <c r="B26" s="167"/>
      <c r="C26" s="168"/>
      <c r="D26" s="374"/>
      <c r="E26" s="392"/>
      <c r="F26" s="393"/>
      <c r="G26" s="379"/>
      <c r="H26" s="169"/>
      <c r="I26" s="169"/>
      <c r="J26" s="170"/>
      <c r="K26" s="161"/>
      <c r="L26" s="162"/>
      <c r="M26" s="163"/>
      <c r="N26" s="164"/>
      <c r="O26" s="163"/>
      <c r="P26" s="165"/>
      <c r="Q26" s="166"/>
      <c r="R26" s="129"/>
    </row>
    <row r="27" spans="2:18" x14ac:dyDescent="0.2">
      <c r="B27" s="167"/>
      <c r="C27" s="171"/>
      <c r="D27" s="375"/>
      <c r="E27" s="168"/>
      <c r="F27" s="393"/>
      <c r="G27" s="380"/>
      <c r="H27" s="172"/>
      <c r="I27" s="169"/>
      <c r="J27" s="170"/>
      <c r="K27" s="173"/>
      <c r="L27" s="174"/>
      <c r="M27" s="166"/>
      <c r="N27" s="165"/>
      <c r="O27" s="166"/>
      <c r="P27" s="165"/>
      <c r="Q27" s="166"/>
      <c r="R27" s="129"/>
    </row>
    <row r="28" spans="2:18" x14ac:dyDescent="0.2">
      <c r="B28" s="167"/>
      <c r="C28" s="171"/>
      <c r="D28" s="375"/>
      <c r="E28" s="168"/>
      <c r="F28" s="393"/>
      <c r="G28" s="380"/>
      <c r="H28" s="172"/>
      <c r="I28" s="169"/>
      <c r="J28" s="170"/>
      <c r="K28" s="173"/>
      <c r="L28" s="174"/>
      <c r="M28" s="166"/>
      <c r="N28" s="165"/>
      <c r="O28" s="166"/>
      <c r="P28" s="165"/>
      <c r="Q28" s="166"/>
      <c r="R28" s="129"/>
    </row>
    <row r="29" spans="2:18" ht="13.5" thickBot="1" x14ac:dyDescent="0.25">
      <c r="B29" s="167"/>
      <c r="C29" s="171"/>
      <c r="D29" s="375"/>
      <c r="E29" s="168"/>
      <c r="F29" s="393"/>
      <c r="G29" s="380"/>
      <c r="H29" s="172"/>
      <c r="I29" s="169"/>
      <c r="J29" s="170"/>
      <c r="K29" s="173"/>
      <c r="L29" s="174"/>
      <c r="M29" s="166"/>
      <c r="N29" s="165"/>
      <c r="O29" s="166"/>
      <c r="P29" s="165"/>
      <c r="Q29" s="166"/>
      <c r="R29" s="129"/>
    </row>
    <row r="30" spans="2:18" ht="13.5" hidden="1" thickBot="1" x14ac:dyDescent="0.25">
      <c r="B30" s="167">
        <v>32</v>
      </c>
      <c r="C30" s="171" t="e">
        <f t="shared" ref="C30:C91" ca="1" si="0">INDIRECT("'"&amp;$P$6&amp;"'!B"&amp;(B30))</f>
        <v>#REF!</v>
      </c>
      <c r="D30" s="375" t="e">
        <f t="shared" ref="D30:D91" ca="1" si="1">INDIRECT("'"&amp;$P$6&amp;"'!C"&amp;($B30))</f>
        <v>#REF!</v>
      </c>
      <c r="E30" s="168" t="e">
        <f t="shared" ref="E30:E91" ca="1" si="2">INDIRECT("'"&amp;$P$6&amp;"'!D"&amp;($B30))</f>
        <v>#REF!</v>
      </c>
      <c r="F30" s="393" t="e">
        <f t="shared" ref="F30:F91" ca="1" si="3">INDIRECT("'"&amp;$P$6&amp;"'!E"&amp;($B30))</f>
        <v>#REF!</v>
      </c>
      <c r="G30" s="380" t="e">
        <f t="shared" ref="G30:G91" ca="1" si="4">INDIRECT("'"&amp;$P$6&amp;"'!F"&amp;($B30))</f>
        <v>#REF!</v>
      </c>
      <c r="H30" s="172" t="e">
        <f t="shared" ref="H30:H91" ca="1" si="5">INDIRECT("'"&amp;$P$6&amp;"'!G"&amp;($B30))</f>
        <v>#REF!</v>
      </c>
      <c r="I30" s="169" t="e">
        <f t="shared" ref="I30:I91" ca="1" si="6">INDIRECT("'"&amp;$P$6&amp;"'!H"&amp;($B30))</f>
        <v>#REF!</v>
      </c>
      <c r="J30" s="170" t="e">
        <f t="shared" ref="J30:J91" ca="1" si="7">INDIRECT("'"&amp;$P$6&amp;"'!I"&amp;($B30))</f>
        <v>#REF!</v>
      </c>
      <c r="K30" s="173">
        <f t="shared" ref="K30:K91" ca="1" si="8">IFERROR(M30/J30,0)</f>
        <v>0</v>
      </c>
      <c r="L30" s="174" t="e">
        <f t="shared" ref="L30:M91" ca="1" si="9">N30+P30</f>
        <v>#NAME?</v>
      </c>
      <c r="M30" s="166" t="e">
        <f t="shared" ca="1" si="9"/>
        <v>#NAME?</v>
      </c>
      <c r="N30" s="165" t="e">
        <f t="shared" ref="N30:N61" ca="1" si="10">INDEX(INDIRECT("'"&amp;$P$6&amp;"'!"&amp;LETRACOLUMNA(10+($L$7-1)*6)&amp;(24)&amp;":"&amp;LETRACOLUMNA(15+($L$7-1)*6)&amp;(141)),6+($B30-29),3)</f>
        <v>#NAME?</v>
      </c>
      <c r="O30" s="166" t="e">
        <f t="shared" ref="O30:O61" ca="1" si="11">INDEX(INDIRECT("'"&amp;$P$6&amp;"'!"&amp;LETRACOLUMNA(10+($L$7-1)*6)&amp;(24)&amp;":"&amp;LETRACOLUMNA(15+($L$7-1)*6)&amp;(141)),6+($B30-29),4)</f>
        <v>#NAME?</v>
      </c>
      <c r="P30" s="165" t="e">
        <f t="shared" ref="P30:P61" ca="1" si="12">INDEX(INDIRECT("'"&amp;$P$6&amp;"'!"&amp;LETRACOLUMNA(10+($L$7-1)*6)&amp;(24)&amp;":"&amp;LETRACOLUMNA(15+($L$7-1)*5)&amp;(141)),6+($B30-29),1)</f>
        <v>#NAME?</v>
      </c>
      <c r="Q30" s="166" t="e">
        <f t="shared" ref="Q30:Q61" ca="1" si="13">INDEX(INDIRECT("'"&amp;$P$6&amp;"'!"&amp;LETRACOLUMNA(10+($L$7-1)*6)&amp;(24)&amp;":"&amp;LETRACOLUMNA(15+($L$7-1)*6)&amp;(141)),6+($B30-29),2)</f>
        <v>#NAME?</v>
      </c>
      <c r="R30" s="129"/>
    </row>
    <row r="31" spans="2:18" ht="13.5" hidden="1" thickBot="1" x14ac:dyDescent="0.25">
      <c r="B31" s="167">
        <v>33</v>
      </c>
      <c r="C31" s="171" t="e">
        <f t="shared" ca="1" si="0"/>
        <v>#REF!</v>
      </c>
      <c r="D31" s="375" t="e">
        <f t="shared" ca="1" si="1"/>
        <v>#REF!</v>
      </c>
      <c r="E31" s="168" t="e">
        <f t="shared" ca="1" si="2"/>
        <v>#REF!</v>
      </c>
      <c r="F31" s="393" t="e">
        <f t="shared" ca="1" si="3"/>
        <v>#REF!</v>
      </c>
      <c r="G31" s="380" t="e">
        <f t="shared" ca="1" si="4"/>
        <v>#REF!</v>
      </c>
      <c r="H31" s="172" t="e">
        <f t="shared" ca="1" si="5"/>
        <v>#REF!</v>
      </c>
      <c r="I31" s="169" t="e">
        <f t="shared" ca="1" si="6"/>
        <v>#REF!</v>
      </c>
      <c r="J31" s="170" t="e">
        <f t="shared" ca="1" si="7"/>
        <v>#REF!</v>
      </c>
      <c r="K31" s="173">
        <f t="shared" ca="1" si="8"/>
        <v>0</v>
      </c>
      <c r="L31" s="174" t="e">
        <f t="shared" ca="1" si="9"/>
        <v>#NAME?</v>
      </c>
      <c r="M31" s="166" t="e">
        <f t="shared" ca="1" si="9"/>
        <v>#NAME?</v>
      </c>
      <c r="N31" s="165" t="e">
        <f t="shared" ca="1" si="10"/>
        <v>#NAME?</v>
      </c>
      <c r="O31" s="166" t="e">
        <f t="shared" ca="1" si="11"/>
        <v>#NAME?</v>
      </c>
      <c r="P31" s="165" t="e">
        <f t="shared" ca="1" si="12"/>
        <v>#NAME?</v>
      </c>
      <c r="Q31" s="166" t="e">
        <f t="shared" ca="1" si="13"/>
        <v>#NAME?</v>
      </c>
      <c r="R31" s="129"/>
    </row>
    <row r="32" spans="2:18" ht="13.5" hidden="1" thickBot="1" x14ac:dyDescent="0.25">
      <c r="B32" s="167">
        <v>34</v>
      </c>
      <c r="C32" s="171" t="e">
        <f t="shared" ca="1" si="0"/>
        <v>#REF!</v>
      </c>
      <c r="D32" s="375" t="e">
        <f t="shared" ca="1" si="1"/>
        <v>#REF!</v>
      </c>
      <c r="E32" s="168" t="e">
        <f t="shared" ca="1" si="2"/>
        <v>#REF!</v>
      </c>
      <c r="F32" s="393" t="e">
        <f t="shared" ca="1" si="3"/>
        <v>#REF!</v>
      </c>
      <c r="G32" s="380" t="e">
        <f t="shared" ca="1" si="4"/>
        <v>#REF!</v>
      </c>
      <c r="H32" s="172" t="e">
        <f t="shared" ca="1" si="5"/>
        <v>#REF!</v>
      </c>
      <c r="I32" s="169" t="e">
        <f t="shared" ca="1" si="6"/>
        <v>#REF!</v>
      </c>
      <c r="J32" s="170" t="e">
        <f t="shared" ca="1" si="7"/>
        <v>#REF!</v>
      </c>
      <c r="K32" s="173">
        <f t="shared" ca="1" si="8"/>
        <v>0</v>
      </c>
      <c r="L32" s="174" t="e">
        <f t="shared" ca="1" si="9"/>
        <v>#NAME?</v>
      </c>
      <c r="M32" s="166" t="e">
        <f t="shared" ca="1" si="9"/>
        <v>#NAME?</v>
      </c>
      <c r="N32" s="165" t="e">
        <f t="shared" ca="1" si="10"/>
        <v>#NAME?</v>
      </c>
      <c r="O32" s="166" t="e">
        <f t="shared" ca="1" si="11"/>
        <v>#NAME?</v>
      </c>
      <c r="P32" s="165" t="e">
        <f t="shared" ca="1" si="12"/>
        <v>#NAME?</v>
      </c>
      <c r="Q32" s="166" t="e">
        <f t="shared" ca="1" si="13"/>
        <v>#NAME?</v>
      </c>
      <c r="R32" s="129"/>
    </row>
    <row r="33" spans="2:18" ht="13.5" hidden="1" thickBot="1" x14ac:dyDescent="0.25">
      <c r="B33" s="167">
        <v>35</v>
      </c>
      <c r="C33" s="171" t="e">
        <f t="shared" ca="1" si="0"/>
        <v>#REF!</v>
      </c>
      <c r="D33" s="375" t="e">
        <f t="shared" ca="1" si="1"/>
        <v>#REF!</v>
      </c>
      <c r="E33" s="168" t="e">
        <f t="shared" ca="1" si="2"/>
        <v>#REF!</v>
      </c>
      <c r="F33" s="393" t="e">
        <f t="shared" ca="1" si="3"/>
        <v>#REF!</v>
      </c>
      <c r="G33" s="380" t="e">
        <f t="shared" ca="1" si="4"/>
        <v>#REF!</v>
      </c>
      <c r="H33" s="172" t="e">
        <f t="shared" ca="1" si="5"/>
        <v>#REF!</v>
      </c>
      <c r="I33" s="169" t="e">
        <f t="shared" ca="1" si="6"/>
        <v>#REF!</v>
      </c>
      <c r="J33" s="170" t="e">
        <f t="shared" ca="1" si="7"/>
        <v>#REF!</v>
      </c>
      <c r="K33" s="173">
        <f t="shared" ca="1" si="8"/>
        <v>0</v>
      </c>
      <c r="L33" s="174" t="e">
        <f t="shared" ca="1" si="9"/>
        <v>#NAME?</v>
      </c>
      <c r="M33" s="166" t="e">
        <f t="shared" ca="1" si="9"/>
        <v>#NAME?</v>
      </c>
      <c r="N33" s="165" t="e">
        <f t="shared" ca="1" si="10"/>
        <v>#NAME?</v>
      </c>
      <c r="O33" s="166" t="e">
        <f t="shared" ca="1" si="11"/>
        <v>#NAME?</v>
      </c>
      <c r="P33" s="165" t="e">
        <f t="shared" ca="1" si="12"/>
        <v>#NAME?</v>
      </c>
      <c r="Q33" s="166" t="e">
        <f t="shared" ca="1" si="13"/>
        <v>#NAME?</v>
      </c>
      <c r="R33" s="129"/>
    </row>
    <row r="34" spans="2:18" ht="13.5" hidden="1" thickBot="1" x14ac:dyDescent="0.25">
      <c r="B34" s="167">
        <v>36</v>
      </c>
      <c r="C34" s="171" t="e">
        <f t="shared" ca="1" si="0"/>
        <v>#REF!</v>
      </c>
      <c r="D34" s="375" t="e">
        <f t="shared" ca="1" si="1"/>
        <v>#REF!</v>
      </c>
      <c r="E34" s="168" t="e">
        <f t="shared" ca="1" si="2"/>
        <v>#REF!</v>
      </c>
      <c r="F34" s="393" t="e">
        <f t="shared" ca="1" si="3"/>
        <v>#REF!</v>
      </c>
      <c r="G34" s="380" t="e">
        <f t="shared" ca="1" si="4"/>
        <v>#REF!</v>
      </c>
      <c r="H34" s="172" t="e">
        <f t="shared" ca="1" si="5"/>
        <v>#REF!</v>
      </c>
      <c r="I34" s="169" t="e">
        <f t="shared" ca="1" si="6"/>
        <v>#REF!</v>
      </c>
      <c r="J34" s="170" t="e">
        <f t="shared" ca="1" si="7"/>
        <v>#REF!</v>
      </c>
      <c r="K34" s="173">
        <f t="shared" ca="1" si="8"/>
        <v>0</v>
      </c>
      <c r="L34" s="174" t="e">
        <f t="shared" ca="1" si="9"/>
        <v>#NAME?</v>
      </c>
      <c r="M34" s="166" t="e">
        <f t="shared" ca="1" si="9"/>
        <v>#NAME?</v>
      </c>
      <c r="N34" s="165" t="e">
        <f t="shared" ca="1" si="10"/>
        <v>#NAME?</v>
      </c>
      <c r="O34" s="166" t="e">
        <f t="shared" ca="1" si="11"/>
        <v>#NAME?</v>
      </c>
      <c r="P34" s="165" t="e">
        <f t="shared" ca="1" si="12"/>
        <v>#NAME?</v>
      </c>
      <c r="Q34" s="166" t="e">
        <f t="shared" ca="1" si="13"/>
        <v>#NAME?</v>
      </c>
      <c r="R34" s="129"/>
    </row>
    <row r="35" spans="2:18" ht="13.5" hidden="1" thickBot="1" x14ac:dyDescent="0.25">
      <c r="B35" s="167">
        <v>37</v>
      </c>
      <c r="C35" s="171" t="e">
        <f t="shared" ca="1" si="0"/>
        <v>#REF!</v>
      </c>
      <c r="D35" s="375" t="e">
        <f t="shared" ca="1" si="1"/>
        <v>#REF!</v>
      </c>
      <c r="E35" s="168" t="e">
        <f t="shared" ca="1" si="2"/>
        <v>#REF!</v>
      </c>
      <c r="F35" s="393" t="e">
        <f t="shared" ca="1" si="3"/>
        <v>#REF!</v>
      </c>
      <c r="G35" s="380" t="e">
        <f t="shared" ca="1" si="4"/>
        <v>#REF!</v>
      </c>
      <c r="H35" s="172" t="e">
        <f t="shared" ca="1" si="5"/>
        <v>#REF!</v>
      </c>
      <c r="I35" s="169" t="e">
        <f t="shared" ca="1" si="6"/>
        <v>#REF!</v>
      </c>
      <c r="J35" s="170" t="e">
        <f t="shared" ca="1" si="7"/>
        <v>#REF!</v>
      </c>
      <c r="K35" s="173">
        <f t="shared" ca="1" si="8"/>
        <v>0</v>
      </c>
      <c r="L35" s="174" t="e">
        <f t="shared" ca="1" si="9"/>
        <v>#NAME?</v>
      </c>
      <c r="M35" s="166" t="e">
        <f t="shared" ca="1" si="9"/>
        <v>#NAME?</v>
      </c>
      <c r="N35" s="165" t="e">
        <f t="shared" ca="1" si="10"/>
        <v>#NAME?</v>
      </c>
      <c r="O35" s="166" t="e">
        <f t="shared" ca="1" si="11"/>
        <v>#NAME?</v>
      </c>
      <c r="P35" s="165" t="e">
        <f t="shared" ca="1" si="12"/>
        <v>#NAME?</v>
      </c>
      <c r="Q35" s="166" t="e">
        <f t="shared" ca="1" si="13"/>
        <v>#NAME?</v>
      </c>
      <c r="R35" s="129"/>
    </row>
    <row r="36" spans="2:18" ht="13.5" hidden="1" thickBot="1" x14ac:dyDescent="0.25">
      <c r="B36" s="167">
        <v>38</v>
      </c>
      <c r="C36" s="171" t="e">
        <f t="shared" ca="1" si="0"/>
        <v>#REF!</v>
      </c>
      <c r="D36" s="375" t="e">
        <f t="shared" ca="1" si="1"/>
        <v>#REF!</v>
      </c>
      <c r="E36" s="168" t="e">
        <f t="shared" ca="1" si="2"/>
        <v>#REF!</v>
      </c>
      <c r="F36" s="393" t="e">
        <f t="shared" ca="1" si="3"/>
        <v>#REF!</v>
      </c>
      <c r="G36" s="380" t="e">
        <f t="shared" ca="1" si="4"/>
        <v>#REF!</v>
      </c>
      <c r="H36" s="172" t="e">
        <f t="shared" ca="1" si="5"/>
        <v>#REF!</v>
      </c>
      <c r="I36" s="169" t="e">
        <f t="shared" ca="1" si="6"/>
        <v>#REF!</v>
      </c>
      <c r="J36" s="170" t="e">
        <f t="shared" ca="1" si="7"/>
        <v>#REF!</v>
      </c>
      <c r="K36" s="173">
        <f t="shared" ca="1" si="8"/>
        <v>0</v>
      </c>
      <c r="L36" s="174" t="e">
        <f t="shared" ca="1" si="9"/>
        <v>#NAME?</v>
      </c>
      <c r="M36" s="166" t="e">
        <f t="shared" ca="1" si="9"/>
        <v>#NAME?</v>
      </c>
      <c r="N36" s="165" t="e">
        <f t="shared" ca="1" si="10"/>
        <v>#NAME?</v>
      </c>
      <c r="O36" s="166" t="e">
        <f t="shared" ca="1" si="11"/>
        <v>#NAME?</v>
      </c>
      <c r="P36" s="165" t="e">
        <f t="shared" ca="1" si="12"/>
        <v>#NAME?</v>
      </c>
      <c r="Q36" s="166" t="e">
        <f t="shared" ca="1" si="13"/>
        <v>#NAME?</v>
      </c>
      <c r="R36" s="129"/>
    </row>
    <row r="37" spans="2:18" ht="13.5" hidden="1" thickBot="1" x14ac:dyDescent="0.25">
      <c r="B37" s="167">
        <v>39</v>
      </c>
      <c r="C37" s="171" t="e">
        <f t="shared" ca="1" si="0"/>
        <v>#REF!</v>
      </c>
      <c r="D37" s="375" t="e">
        <f t="shared" ca="1" si="1"/>
        <v>#REF!</v>
      </c>
      <c r="E37" s="168" t="e">
        <f t="shared" ca="1" si="2"/>
        <v>#REF!</v>
      </c>
      <c r="F37" s="393" t="e">
        <f t="shared" ca="1" si="3"/>
        <v>#REF!</v>
      </c>
      <c r="G37" s="380" t="e">
        <f t="shared" ca="1" si="4"/>
        <v>#REF!</v>
      </c>
      <c r="H37" s="172" t="e">
        <f t="shared" ca="1" si="5"/>
        <v>#REF!</v>
      </c>
      <c r="I37" s="169" t="e">
        <f t="shared" ca="1" si="6"/>
        <v>#REF!</v>
      </c>
      <c r="J37" s="170" t="e">
        <f t="shared" ca="1" si="7"/>
        <v>#REF!</v>
      </c>
      <c r="K37" s="173">
        <f t="shared" ca="1" si="8"/>
        <v>0</v>
      </c>
      <c r="L37" s="174" t="e">
        <f t="shared" ca="1" si="9"/>
        <v>#NAME?</v>
      </c>
      <c r="M37" s="166" t="e">
        <f t="shared" ca="1" si="9"/>
        <v>#NAME?</v>
      </c>
      <c r="N37" s="165" t="e">
        <f t="shared" ca="1" si="10"/>
        <v>#NAME?</v>
      </c>
      <c r="O37" s="166" t="e">
        <f t="shared" ca="1" si="11"/>
        <v>#NAME?</v>
      </c>
      <c r="P37" s="165" t="e">
        <f t="shared" ca="1" si="12"/>
        <v>#NAME?</v>
      </c>
      <c r="Q37" s="166" t="e">
        <f t="shared" ca="1" si="13"/>
        <v>#NAME?</v>
      </c>
      <c r="R37" s="129"/>
    </row>
    <row r="38" spans="2:18" s="176" customFormat="1" ht="13.5" hidden="1" thickBot="1" x14ac:dyDescent="0.25">
      <c r="B38" s="167">
        <v>40</v>
      </c>
      <c r="C38" s="171" t="e">
        <f t="shared" ca="1" si="0"/>
        <v>#REF!</v>
      </c>
      <c r="D38" s="375" t="e">
        <f t="shared" ca="1" si="1"/>
        <v>#REF!</v>
      </c>
      <c r="E38" s="168" t="e">
        <f t="shared" ca="1" si="2"/>
        <v>#REF!</v>
      </c>
      <c r="F38" s="393" t="e">
        <f t="shared" ca="1" si="3"/>
        <v>#REF!</v>
      </c>
      <c r="G38" s="380" t="e">
        <f t="shared" ca="1" si="4"/>
        <v>#REF!</v>
      </c>
      <c r="H38" s="172" t="e">
        <f t="shared" ca="1" si="5"/>
        <v>#REF!</v>
      </c>
      <c r="I38" s="169" t="e">
        <f t="shared" ca="1" si="6"/>
        <v>#REF!</v>
      </c>
      <c r="J38" s="170" t="e">
        <f t="shared" ca="1" si="7"/>
        <v>#REF!</v>
      </c>
      <c r="K38" s="173">
        <f t="shared" ca="1" si="8"/>
        <v>0</v>
      </c>
      <c r="L38" s="174" t="e">
        <f t="shared" ca="1" si="9"/>
        <v>#NAME?</v>
      </c>
      <c r="M38" s="166" t="e">
        <f t="shared" ca="1" si="9"/>
        <v>#NAME?</v>
      </c>
      <c r="N38" s="165" t="e">
        <f t="shared" ca="1" si="10"/>
        <v>#NAME?</v>
      </c>
      <c r="O38" s="166" t="e">
        <f t="shared" ca="1" si="11"/>
        <v>#NAME?</v>
      </c>
      <c r="P38" s="165" t="e">
        <f t="shared" ca="1" si="12"/>
        <v>#NAME?</v>
      </c>
      <c r="Q38" s="166" t="e">
        <f t="shared" ca="1" si="13"/>
        <v>#NAME?</v>
      </c>
      <c r="R38" s="175"/>
    </row>
    <row r="39" spans="2:18" s="176" customFormat="1" ht="9.9499999999999993" hidden="1" customHeight="1" x14ac:dyDescent="0.2">
      <c r="B39" s="167">
        <v>41</v>
      </c>
      <c r="C39" s="171" t="e">
        <f t="shared" ca="1" si="0"/>
        <v>#REF!</v>
      </c>
      <c r="D39" s="375" t="e">
        <f t="shared" ca="1" si="1"/>
        <v>#REF!</v>
      </c>
      <c r="E39" s="168" t="e">
        <f t="shared" ca="1" si="2"/>
        <v>#REF!</v>
      </c>
      <c r="F39" s="393" t="e">
        <f t="shared" ca="1" si="3"/>
        <v>#REF!</v>
      </c>
      <c r="G39" s="380" t="e">
        <f t="shared" ca="1" si="4"/>
        <v>#REF!</v>
      </c>
      <c r="H39" s="172" t="e">
        <f t="shared" ca="1" si="5"/>
        <v>#REF!</v>
      </c>
      <c r="I39" s="169" t="e">
        <f t="shared" ca="1" si="6"/>
        <v>#REF!</v>
      </c>
      <c r="J39" s="170" t="e">
        <f t="shared" ca="1" si="7"/>
        <v>#REF!</v>
      </c>
      <c r="K39" s="173">
        <f t="shared" ca="1" si="8"/>
        <v>0</v>
      </c>
      <c r="L39" s="174" t="e">
        <f t="shared" ca="1" si="9"/>
        <v>#NAME?</v>
      </c>
      <c r="M39" s="166" t="e">
        <f t="shared" ca="1" si="9"/>
        <v>#NAME?</v>
      </c>
      <c r="N39" s="165" t="e">
        <f t="shared" ca="1" si="10"/>
        <v>#NAME?</v>
      </c>
      <c r="O39" s="166" t="e">
        <f t="shared" ca="1" si="11"/>
        <v>#NAME?</v>
      </c>
      <c r="P39" s="165" t="e">
        <f t="shared" ca="1" si="12"/>
        <v>#NAME?</v>
      </c>
      <c r="Q39" s="166" t="e">
        <f t="shared" ca="1" si="13"/>
        <v>#NAME?</v>
      </c>
      <c r="R39" s="175"/>
    </row>
    <row r="40" spans="2:18" s="176" customFormat="1" ht="13.5" hidden="1" thickBot="1" x14ac:dyDescent="0.25">
      <c r="B40" s="167">
        <v>42</v>
      </c>
      <c r="C40" s="171" t="e">
        <f t="shared" ca="1" si="0"/>
        <v>#REF!</v>
      </c>
      <c r="D40" s="375" t="e">
        <f t="shared" ca="1" si="1"/>
        <v>#REF!</v>
      </c>
      <c r="E40" s="168" t="e">
        <f t="shared" ca="1" si="2"/>
        <v>#REF!</v>
      </c>
      <c r="F40" s="393" t="e">
        <f t="shared" ca="1" si="3"/>
        <v>#REF!</v>
      </c>
      <c r="G40" s="380" t="e">
        <f t="shared" ca="1" si="4"/>
        <v>#REF!</v>
      </c>
      <c r="H40" s="172" t="e">
        <f t="shared" ca="1" si="5"/>
        <v>#REF!</v>
      </c>
      <c r="I40" s="169" t="e">
        <f t="shared" ca="1" si="6"/>
        <v>#REF!</v>
      </c>
      <c r="J40" s="170" t="e">
        <f t="shared" ca="1" si="7"/>
        <v>#REF!</v>
      </c>
      <c r="K40" s="173">
        <f t="shared" ca="1" si="8"/>
        <v>0</v>
      </c>
      <c r="L40" s="174" t="e">
        <f t="shared" ca="1" si="9"/>
        <v>#NAME?</v>
      </c>
      <c r="M40" s="166" t="e">
        <f t="shared" ca="1" si="9"/>
        <v>#NAME?</v>
      </c>
      <c r="N40" s="165" t="e">
        <f t="shared" ca="1" si="10"/>
        <v>#NAME?</v>
      </c>
      <c r="O40" s="166" t="e">
        <f t="shared" ca="1" si="11"/>
        <v>#NAME?</v>
      </c>
      <c r="P40" s="165" t="e">
        <f t="shared" ca="1" si="12"/>
        <v>#NAME?</v>
      </c>
      <c r="Q40" s="166" t="e">
        <f t="shared" ca="1" si="13"/>
        <v>#NAME?</v>
      </c>
      <c r="R40" s="175"/>
    </row>
    <row r="41" spans="2:18" s="176" customFormat="1" ht="13.5" hidden="1" thickBot="1" x14ac:dyDescent="0.25">
      <c r="B41" s="167">
        <v>43</v>
      </c>
      <c r="C41" s="171" t="e">
        <f t="shared" ca="1" si="0"/>
        <v>#REF!</v>
      </c>
      <c r="D41" s="375" t="e">
        <f t="shared" ca="1" si="1"/>
        <v>#REF!</v>
      </c>
      <c r="E41" s="168" t="e">
        <f t="shared" ca="1" si="2"/>
        <v>#REF!</v>
      </c>
      <c r="F41" s="393" t="e">
        <f t="shared" ca="1" si="3"/>
        <v>#REF!</v>
      </c>
      <c r="G41" s="380" t="e">
        <f t="shared" ca="1" si="4"/>
        <v>#REF!</v>
      </c>
      <c r="H41" s="172" t="e">
        <f t="shared" ca="1" si="5"/>
        <v>#REF!</v>
      </c>
      <c r="I41" s="169" t="e">
        <f t="shared" ca="1" si="6"/>
        <v>#REF!</v>
      </c>
      <c r="J41" s="170" t="e">
        <f t="shared" ca="1" si="7"/>
        <v>#REF!</v>
      </c>
      <c r="K41" s="173">
        <f t="shared" ca="1" si="8"/>
        <v>0</v>
      </c>
      <c r="L41" s="174" t="e">
        <f t="shared" ca="1" si="9"/>
        <v>#NAME?</v>
      </c>
      <c r="M41" s="166" t="e">
        <f t="shared" ca="1" si="9"/>
        <v>#NAME?</v>
      </c>
      <c r="N41" s="165" t="e">
        <f t="shared" ca="1" si="10"/>
        <v>#NAME?</v>
      </c>
      <c r="O41" s="166" t="e">
        <f t="shared" ca="1" si="11"/>
        <v>#NAME?</v>
      </c>
      <c r="P41" s="165" t="e">
        <f t="shared" ca="1" si="12"/>
        <v>#NAME?</v>
      </c>
      <c r="Q41" s="166" t="e">
        <f t="shared" ca="1" si="13"/>
        <v>#NAME?</v>
      </c>
      <c r="R41" s="175"/>
    </row>
    <row r="42" spans="2:18" s="176" customFormat="1" ht="13.5" hidden="1" thickBot="1" x14ac:dyDescent="0.25">
      <c r="B42" s="167">
        <v>44</v>
      </c>
      <c r="C42" s="171" t="e">
        <f t="shared" ca="1" si="0"/>
        <v>#REF!</v>
      </c>
      <c r="D42" s="375" t="e">
        <f t="shared" ca="1" si="1"/>
        <v>#REF!</v>
      </c>
      <c r="E42" s="168" t="e">
        <f t="shared" ca="1" si="2"/>
        <v>#REF!</v>
      </c>
      <c r="F42" s="393" t="e">
        <f t="shared" ca="1" si="3"/>
        <v>#REF!</v>
      </c>
      <c r="G42" s="380" t="e">
        <f t="shared" ca="1" si="4"/>
        <v>#REF!</v>
      </c>
      <c r="H42" s="172" t="e">
        <f t="shared" ca="1" si="5"/>
        <v>#REF!</v>
      </c>
      <c r="I42" s="169" t="e">
        <f t="shared" ca="1" si="6"/>
        <v>#REF!</v>
      </c>
      <c r="J42" s="170" t="e">
        <f t="shared" ca="1" si="7"/>
        <v>#REF!</v>
      </c>
      <c r="K42" s="173">
        <f t="shared" ca="1" si="8"/>
        <v>0</v>
      </c>
      <c r="L42" s="174" t="e">
        <f t="shared" ca="1" si="9"/>
        <v>#NAME?</v>
      </c>
      <c r="M42" s="166" t="e">
        <f t="shared" ca="1" si="9"/>
        <v>#NAME?</v>
      </c>
      <c r="N42" s="165" t="e">
        <f t="shared" ca="1" si="10"/>
        <v>#NAME?</v>
      </c>
      <c r="O42" s="166" t="e">
        <f t="shared" ca="1" si="11"/>
        <v>#NAME?</v>
      </c>
      <c r="P42" s="165" t="e">
        <f t="shared" ca="1" si="12"/>
        <v>#NAME?</v>
      </c>
      <c r="Q42" s="166" t="e">
        <f t="shared" ca="1" si="13"/>
        <v>#NAME?</v>
      </c>
      <c r="R42" s="175"/>
    </row>
    <row r="43" spans="2:18" s="176" customFormat="1" ht="13.5" hidden="1" thickBot="1" x14ac:dyDescent="0.25">
      <c r="B43" s="167">
        <v>45</v>
      </c>
      <c r="C43" s="171" t="e">
        <f t="shared" ca="1" si="0"/>
        <v>#REF!</v>
      </c>
      <c r="D43" s="375" t="e">
        <f t="shared" ca="1" si="1"/>
        <v>#REF!</v>
      </c>
      <c r="E43" s="168" t="e">
        <f t="shared" ca="1" si="2"/>
        <v>#REF!</v>
      </c>
      <c r="F43" s="393" t="e">
        <f t="shared" ca="1" si="3"/>
        <v>#REF!</v>
      </c>
      <c r="G43" s="380" t="e">
        <f t="shared" ca="1" si="4"/>
        <v>#REF!</v>
      </c>
      <c r="H43" s="172" t="e">
        <f t="shared" ca="1" si="5"/>
        <v>#REF!</v>
      </c>
      <c r="I43" s="169" t="e">
        <f t="shared" ca="1" si="6"/>
        <v>#REF!</v>
      </c>
      <c r="J43" s="170" t="e">
        <f t="shared" ca="1" si="7"/>
        <v>#REF!</v>
      </c>
      <c r="K43" s="173">
        <f t="shared" ca="1" si="8"/>
        <v>0</v>
      </c>
      <c r="L43" s="174" t="e">
        <f t="shared" ca="1" si="9"/>
        <v>#NAME?</v>
      </c>
      <c r="M43" s="166" t="e">
        <f t="shared" ca="1" si="9"/>
        <v>#NAME?</v>
      </c>
      <c r="N43" s="165" t="e">
        <f t="shared" ca="1" si="10"/>
        <v>#NAME?</v>
      </c>
      <c r="O43" s="166" t="e">
        <f t="shared" ca="1" si="11"/>
        <v>#NAME?</v>
      </c>
      <c r="P43" s="165" t="e">
        <f t="shared" ca="1" si="12"/>
        <v>#NAME?</v>
      </c>
      <c r="Q43" s="166" t="e">
        <f t="shared" ca="1" si="13"/>
        <v>#NAME?</v>
      </c>
      <c r="R43" s="175"/>
    </row>
    <row r="44" spans="2:18" s="176" customFormat="1" ht="13.5" hidden="1" thickBot="1" x14ac:dyDescent="0.25">
      <c r="B44" s="167">
        <v>46</v>
      </c>
      <c r="C44" s="171" t="e">
        <f t="shared" ca="1" si="0"/>
        <v>#REF!</v>
      </c>
      <c r="D44" s="375" t="e">
        <f t="shared" ca="1" si="1"/>
        <v>#REF!</v>
      </c>
      <c r="E44" s="168" t="e">
        <f t="shared" ca="1" si="2"/>
        <v>#REF!</v>
      </c>
      <c r="F44" s="393" t="e">
        <f t="shared" ca="1" si="3"/>
        <v>#REF!</v>
      </c>
      <c r="G44" s="380" t="e">
        <f t="shared" ca="1" si="4"/>
        <v>#REF!</v>
      </c>
      <c r="H44" s="172" t="e">
        <f t="shared" ca="1" si="5"/>
        <v>#REF!</v>
      </c>
      <c r="I44" s="169" t="e">
        <f t="shared" ca="1" si="6"/>
        <v>#REF!</v>
      </c>
      <c r="J44" s="170" t="e">
        <f t="shared" ca="1" si="7"/>
        <v>#REF!</v>
      </c>
      <c r="K44" s="173">
        <f t="shared" ca="1" si="8"/>
        <v>0</v>
      </c>
      <c r="L44" s="174" t="e">
        <f t="shared" ca="1" si="9"/>
        <v>#NAME?</v>
      </c>
      <c r="M44" s="166" t="e">
        <f t="shared" ca="1" si="9"/>
        <v>#NAME?</v>
      </c>
      <c r="N44" s="165" t="e">
        <f t="shared" ca="1" si="10"/>
        <v>#NAME?</v>
      </c>
      <c r="O44" s="166" t="e">
        <f t="shared" ca="1" si="11"/>
        <v>#NAME?</v>
      </c>
      <c r="P44" s="165" t="e">
        <f t="shared" ca="1" si="12"/>
        <v>#NAME?</v>
      </c>
      <c r="Q44" s="166" t="e">
        <f t="shared" ca="1" si="13"/>
        <v>#NAME?</v>
      </c>
      <c r="R44" s="175"/>
    </row>
    <row r="45" spans="2:18" s="176" customFormat="1" ht="13.5" hidden="1" thickBot="1" x14ac:dyDescent="0.25">
      <c r="B45" s="167">
        <v>47</v>
      </c>
      <c r="C45" s="171" t="e">
        <f t="shared" ca="1" si="0"/>
        <v>#REF!</v>
      </c>
      <c r="D45" s="375" t="e">
        <f t="shared" ca="1" si="1"/>
        <v>#REF!</v>
      </c>
      <c r="E45" s="168" t="e">
        <f t="shared" ca="1" si="2"/>
        <v>#REF!</v>
      </c>
      <c r="F45" s="393" t="e">
        <f t="shared" ca="1" si="3"/>
        <v>#REF!</v>
      </c>
      <c r="G45" s="380" t="e">
        <f t="shared" ca="1" si="4"/>
        <v>#REF!</v>
      </c>
      <c r="H45" s="172" t="e">
        <f t="shared" ca="1" si="5"/>
        <v>#REF!</v>
      </c>
      <c r="I45" s="169" t="e">
        <f t="shared" ca="1" si="6"/>
        <v>#REF!</v>
      </c>
      <c r="J45" s="170" t="e">
        <f t="shared" ca="1" si="7"/>
        <v>#REF!</v>
      </c>
      <c r="K45" s="173">
        <f t="shared" ca="1" si="8"/>
        <v>0</v>
      </c>
      <c r="L45" s="174" t="e">
        <f t="shared" ca="1" si="9"/>
        <v>#NAME?</v>
      </c>
      <c r="M45" s="166" t="e">
        <f t="shared" ca="1" si="9"/>
        <v>#NAME?</v>
      </c>
      <c r="N45" s="165" t="e">
        <f t="shared" ca="1" si="10"/>
        <v>#NAME?</v>
      </c>
      <c r="O45" s="166" t="e">
        <f t="shared" ca="1" si="11"/>
        <v>#NAME?</v>
      </c>
      <c r="P45" s="165" t="e">
        <f t="shared" ca="1" si="12"/>
        <v>#NAME?</v>
      </c>
      <c r="Q45" s="166" t="e">
        <f t="shared" ca="1" si="13"/>
        <v>#NAME?</v>
      </c>
      <c r="R45" s="175"/>
    </row>
    <row r="46" spans="2:18" s="176" customFormat="1" ht="13.5" hidden="1" thickBot="1" x14ac:dyDescent="0.25">
      <c r="B46" s="167">
        <v>48</v>
      </c>
      <c r="C46" s="171" t="e">
        <f t="shared" ca="1" si="0"/>
        <v>#REF!</v>
      </c>
      <c r="D46" s="375" t="e">
        <f t="shared" ca="1" si="1"/>
        <v>#REF!</v>
      </c>
      <c r="E46" s="168" t="e">
        <f t="shared" ca="1" si="2"/>
        <v>#REF!</v>
      </c>
      <c r="F46" s="393" t="e">
        <f t="shared" ca="1" si="3"/>
        <v>#REF!</v>
      </c>
      <c r="G46" s="380" t="e">
        <f t="shared" ca="1" si="4"/>
        <v>#REF!</v>
      </c>
      <c r="H46" s="172" t="e">
        <f t="shared" ca="1" si="5"/>
        <v>#REF!</v>
      </c>
      <c r="I46" s="169" t="e">
        <f t="shared" ca="1" si="6"/>
        <v>#REF!</v>
      </c>
      <c r="J46" s="170" t="e">
        <f t="shared" ca="1" si="7"/>
        <v>#REF!</v>
      </c>
      <c r="K46" s="173">
        <f t="shared" ca="1" si="8"/>
        <v>0</v>
      </c>
      <c r="L46" s="174" t="e">
        <f t="shared" ca="1" si="9"/>
        <v>#NAME?</v>
      </c>
      <c r="M46" s="166" t="e">
        <f t="shared" ca="1" si="9"/>
        <v>#NAME?</v>
      </c>
      <c r="N46" s="165" t="e">
        <f t="shared" ca="1" si="10"/>
        <v>#NAME?</v>
      </c>
      <c r="O46" s="166" t="e">
        <f t="shared" ca="1" si="11"/>
        <v>#NAME?</v>
      </c>
      <c r="P46" s="165" t="e">
        <f t="shared" ca="1" si="12"/>
        <v>#NAME?</v>
      </c>
      <c r="Q46" s="166" t="e">
        <f t="shared" ca="1" si="13"/>
        <v>#NAME?</v>
      </c>
      <c r="R46" s="175"/>
    </row>
    <row r="47" spans="2:18" s="176" customFormat="1" ht="13.5" hidden="1" thickBot="1" x14ac:dyDescent="0.25">
      <c r="B47" s="167">
        <v>49</v>
      </c>
      <c r="C47" s="171" t="e">
        <f t="shared" ca="1" si="0"/>
        <v>#REF!</v>
      </c>
      <c r="D47" s="375" t="e">
        <f t="shared" ca="1" si="1"/>
        <v>#REF!</v>
      </c>
      <c r="E47" s="168" t="e">
        <f t="shared" ca="1" si="2"/>
        <v>#REF!</v>
      </c>
      <c r="F47" s="393" t="e">
        <f t="shared" ca="1" si="3"/>
        <v>#REF!</v>
      </c>
      <c r="G47" s="380" t="e">
        <f t="shared" ca="1" si="4"/>
        <v>#REF!</v>
      </c>
      <c r="H47" s="172" t="e">
        <f t="shared" ca="1" si="5"/>
        <v>#REF!</v>
      </c>
      <c r="I47" s="169" t="e">
        <f t="shared" ca="1" si="6"/>
        <v>#REF!</v>
      </c>
      <c r="J47" s="170" t="e">
        <f t="shared" ca="1" si="7"/>
        <v>#REF!</v>
      </c>
      <c r="K47" s="173">
        <f t="shared" ca="1" si="8"/>
        <v>0</v>
      </c>
      <c r="L47" s="174" t="e">
        <f t="shared" ca="1" si="9"/>
        <v>#NAME?</v>
      </c>
      <c r="M47" s="166" t="e">
        <f t="shared" ca="1" si="9"/>
        <v>#NAME?</v>
      </c>
      <c r="N47" s="165" t="e">
        <f t="shared" ca="1" si="10"/>
        <v>#NAME?</v>
      </c>
      <c r="O47" s="166" t="e">
        <f t="shared" ca="1" si="11"/>
        <v>#NAME?</v>
      </c>
      <c r="P47" s="165" t="e">
        <f t="shared" ca="1" si="12"/>
        <v>#NAME?</v>
      </c>
      <c r="Q47" s="166" t="e">
        <f t="shared" ca="1" si="13"/>
        <v>#NAME?</v>
      </c>
      <c r="R47" s="175"/>
    </row>
    <row r="48" spans="2:18" s="176" customFormat="1" ht="13.5" hidden="1" thickBot="1" x14ac:dyDescent="0.25">
      <c r="B48" s="167">
        <v>50</v>
      </c>
      <c r="C48" s="171" t="e">
        <f t="shared" ca="1" si="0"/>
        <v>#REF!</v>
      </c>
      <c r="D48" s="375" t="e">
        <f t="shared" ca="1" si="1"/>
        <v>#REF!</v>
      </c>
      <c r="E48" s="168" t="e">
        <f t="shared" ca="1" si="2"/>
        <v>#REF!</v>
      </c>
      <c r="F48" s="393" t="e">
        <f t="shared" ca="1" si="3"/>
        <v>#REF!</v>
      </c>
      <c r="G48" s="380" t="e">
        <f t="shared" ca="1" si="4"/>
        <v>#REF!</v>
      </c>
      <c r="H48" s="172" t="e">
        <f t="shared" ca="1" si="5"/>
        <v>#REF!</v>
      </c>
      <c r="I48" s="169" t="e">
        <f t="shared" ca="1" si="6"/>
        <v>#REF!</v>
      </c>
      <c r="J48" s="170" t="e">
        <f t="shared" ca="1" si="7"/>
        <v>#REF!</v>
      </c>
      <c r="K48" s="173">
        <f t="shared" ca="1" si="8"/>
        <v>0</v>
      </c>
      <c r="L48" s="174" t="e">
        <f t="shared" ca="1" si="9"/>
        <v>#NAME?</v>
      </c>
      <c r="M48" s="166" t="e">
        <f t="shared" ca="1" si="9"/>
        <v>#NAME?</v>
      </c>
      <c r="N48" s="165" t="e">
        <f t="shared" ca="1" si="10"/>
        <v>#NAME?</v>
      </c>
      <c r="O48" s="166" t="e">
        <f t="shared" ca="1" si="11"/>
        <v>#NAME?</v>
      </c>
      <c r="P48" s="165" t="e">
        <f t="shared" ca="1" si="12"/>
        <v>#NAME?</v>
      </c>
      <c r="Q48" s="166" t="e">
        <f t="shared" ca="1" si="13"/>
        <v>#NAME?</v>
      </c>
      <c r="R48" s="175"/>
    </row>
    <row r="49" spans="2:18" s="176" customFormat="1" ht="13.5" hidden="1" thickBot="1" x14ac:dyDescent="0.25">
      <c r="B49" s="167">
        <v>51</v>
      </c>
      <c r="C49" s="171" t="e">
        <f t="shared" ca="1" si="0"/>
        <v>#REF!</v>
      </c>
      <c r="D49" s="375" t="e">
        <f t="shared" ca="1" si="1"/>
        <v>#REF!</v>
      </c>
      <c r="E49" s="168" t="e">
        <f t="shared" ca="1" si="2"/>
        <v>#REF!</v>
      </c>
      <c r="F49" s="393" t="e">
        <f t="shared" ca="1" si="3"/>
        <v>#REF!</v>
      </c>
      <c r="G49" s="380" t="e">
        <f t="shared" ca="1" si="4"/>
        <v>#REF!</v>
      </c>
      <c r="H49" s="172" t="e">
        <f t="shared" ca="1" si="5"/>
        <v>#REF!</v>
      </c>
      <c r="I49" s="169" t="e">
        <f t="shared" ca="1" si="6"/>
        <v>#REF!</v>
      </c>
      <c r="J49" s="170" t="e">
        <f t="shared" ca="1" si="7"/>
        <v>#REF!</v>
      </c>
      <c r="K49" s="173">
        <f t="shared" ca="1" si="8"/>
        <v>0</v>
      </c>
      <c r="L49" s="174" t="e">
        <f t="shared" ca="1" si="9"/>
        <v>#NAME?</v>
      </c>
      <c r="M49" s="166" t="e">
        <f t="shared" ca="1" si="9"/>
        <v>#NAME?</v>
      </c>
      <c r="N49" s="165" t="e">
        <f t="shared" ca="1" si="10"/>
        <v>#NAME?</v>
      </c>
      <c r="O49" s="166" t="e">
        <f t="shared" ca="1" si="11"/>
        <v>#NAME?</v>
      </c>
      <c r="P49" s="165" t="e">
        <f t="shared" ca="1" si="12"/>
        <v>#NAME?</v>
      </c>
      <c r="Q49" s="166" t="e">
        <f t="shared" ca="1" si="13"/>
        <v>#NAME?</v>
      </c>
      <c r="R49" s="175"/>
    </row>
    <row r="50" spans="2:18" s="176" customFormat="1" ht="13.5" hidden="1" thickBot="1" x14ac:dyDescent="0.25">
      <c r="B50" s="167">
        <v>52</v>
      </c>
      <c r="C50" s="171" t="e">
        <f t="shared" ca="1" si="0"/>
        <v>#REF!</v>
      </c>
      <c r="D50" s="375" t="e">
        <f t="shared" ca="1" si="1"/>
        <v>#REF!</v>
      </c>
      <c r="E50" s="168" t="e">
        <f t="shared" ca="1" si="2"/>
        <v>#REF!</v>
      </c>
      <c r="F50" s="393" t="e">
        <f t="shared" ca="1" si="3"/>
        <v>#REF!</v>
      </c>
      <c r="G50" s="380" t="e">
        <f t="shared" ca="1" si="4"/>
        <v>#REF!</v>
      </c>
      <c r="H50" s="172" t="e">
        <f t="shared" ca="1" si="5"/>
        <v>#REF!</v>
      </c>
      <c r="I50" s="169" t="e">
        <f t="shared" ca="1" si="6"/>
        <v>#REF!</v>
      </c>
      <c r="J50" s="170" t="e">
        <f t="shared" ca="1" si="7"/>
        <v>#REF!</v>
      </c>
      <c r="K50" s="173">
        <f t="shared" ca="1" si="8"/>
        <v>0</v>
      </c>
      <c r="L50" s="174" t="e">
        <f t="shared" ca="1" si="9"/>
        <v>#NAME?</v>
      </c>
      <c r="M50" s="166" t="e">
        <f t="shared" ca="1" si="9"/>
        <v>#NAME?</v>
      </c>
      <c r="N50" s="165" t="e">
        <f t="shared" ca="1" si="10"/>
        <v>#NAME?</v>
      </c>
      <c r="O50" s="166" t="e">
        <f t="shared" ca="1" si="11"/>
        <v>#NAME?</v>
      </c>
      <c r="P50" s="165" t="e">
        <f t="shared" ca="1" si="12"/>
        <v>#NAME?</v>
      </c>
      <c r="Q50" s="166" t="e">
        <f t="shared" ca="1" si="13"/>
        <v>#NAME?</v>
      </c>
      <c r="R50" s="175"/>
    </row>
    <row r="51" spans="2:18" s="176" customFormat="1" ht="13.5" hidden="1" thickBot="1" x14ac:dyDescent="0.25">
      <c r="B51" s="167">
        <v>53</v>
      </c>
      <c r="C51" s="171" t="e">
        <f t="shared" ca="1" si="0"/>
        <v>#REF!</v>
      </c>
      <c r="D51" s="375" t="e">
        <f t="shared" ca="1" si="1"/>
        <v>#REF!</v>
      </c>
      <c r="E51" s="168" t="e">
        <f t="shared" ca="1" si="2"/>
        <v>#REF!</v>
      </c>
      <c r="F51" s="393" t="e">
        <f t="shared" ca="1" si="3"/>
        <v>#REF!</v>
      </c>
      <c r="G51" s="380" t="e">
        <f t="shared" ca="1" si="4"/>
        <v>#REF!</v>
      </c>
      <c r="H51" s="172" t="e">
        <f t="shared" ca="1" si="5"/>
        <v>#REF!</v>
      </c>
      <c r="I51" s="169" t="e">
        <f t="shared" ca="1" si="6"/>
        <v>#REF!</v>
      </c>
      <c r="J51" s="170" t="e">
        <f t="shared" ca="1" si="7"/>
        <v>#REF!</v>
      </c>
      <c r="K51" s="173">
        <f t="shared" ca="1" si="8"/>
        <v>0</v>
      </c>
      <c r="L51" s="174" t="e">
        <f t="shared" ca="1" si="9"/>
        <v>#NAME?</v>
      </c>
      <c r="M51" s="166" t="e">
        <f t="shared" ca="1" si="9"/>
        <v>#NAME?</v>
      </c>
      <c r="N51" s="165" t="e">
        <f t="shared" ca="1" si="10"/>
        <v>#NAME?</v>
      </c>
      <c r="O51" s="166" t="e">
        <f t="shared" ca="1" si="11"/>
        <v>#NAME?</v>
      </c>
      <c r="P51" s="165" t="e">
        <f t="shared" ca="1" si="12"/>
        <v>#NAME?</v>
      </c>
      <c r="Q51" s="166" t="e">
        <f t="shared" ca="1" si="13"/>
        <v>#NAME?</v>
      </c>
      <c r="R51" s="175"/>
    </row>
    <row r="52" spans="2:18" s="176" customFormat="1" ht="13.5" hidden="1" thickBot="1" x14ac:dyDescent="0.25">
      <c r="B52" s="167">
        <v>54</v>
      </c>
      <c r="C52" s="171" t="e">
        <f t="shared" ca="1" si="0"/>
        <v>#REF!</v>
      </c>
      <c r="D52" s="375" t="e">
        <f t="shared" ca="1" si="1"/>
        <v>#REF!</v>
      </c>
      <c r="E52" s="168" t="e">
        <f t="shared" ca="1" si="2"/>
        <v>#REF!</v>
      </c>
      <c r="F52" s="393" t="e">
        <f t="shared" ca="1" si="3"/>
        <v>#REF!</v>
      </c>
      <c r="G52" s="380" t="e">
        <f t="shared" ca="1" si="4"/>
        <v>#REF!</v>
      </c>
      <c r="H52" s="172" t="e">
        <f t="shared" ca="1" si="5"/>
        <v>#REF!</v>
      </c>
      <c r="I52" s="169" t="e">
        <f t="shared" ca="1" si="6"/>
        <v>#REF!</v>
      </c>
      <c r="J52" s="170" t="e">
        <f t="shared" ca="1" si="7"/>
        <v>#REF!</v>
      </c>
      <c r="K52" s="173">
        <f t="shared" ca="1" si="8"/>
        <v>0</v>
      </c>
      <c r="L52" s="174" t="e">
        <f t="shared" ca="1" si="9"/>
        <v>#NAME?</v>
      </c>
      <c r="M52" s="166" t="e">
        <f t="shared" ca="1" si="9"/>
        <v>#NAME?</v>
      </c>
      <c r="N52" s="165" t="e">
        <f t="shared" ca="1" si="10"/>
        <v>#NAME?</v>
      </c>
      <c r="O52" s="166" t="e">
        <f t="shared" ca="1" si="11"/>
        <v>#NAME?</v>
      </c>
      <c r="P52" s="165" t="e">
        <f t="shared" ca="1" si="12"/>
        <v>#NAME?</v>
      </c>
      <c r="Q52" s="166" t="e">
        <f t="shared" ca="1" si="13"/>
        <v>#NAME?</v>
      </c>
      <c r="R52" s="175"/>
    </row>
    <row r="53" spans="2:18" s="176" customFormat="1" ht="13.5" hidden="1" thickBot="1" x14ac:dyDescent="0.25">
      <c r="B53" s="167">
        <v>55</v>
      </c>
      <c r="C53" s="171" t="e">
        <f t="shared" ca="1" si="0"/>
        <v>#REF!</v>
      </c>
      <c r="D53" s="375" t="e">
        <f t="shared" ca="1" si="1"/>
        <v>#REF!</v>
      </c>
      <c r="E53" s="168" t="e">
        <f t="shared" ca="1" si="2"/>
        <v>#REF!</v>
      </c>
      <c r="F53" s="393" t="e">
        <f t="shared" ca="1" si="3"/>
        <v>#REF!</v>
      </c>
      <c r="G53" s="380" t="e">
        <f t="shared" ca="1" si="4"/>
        <v>#REF!</v>
      </c>
      <c r="H53" s="172" t="e">
        <f t="shared" ca="1" si="5"/>
        <v>#REF!</v>
      </c>
      <c r="I53" s="169" t="e">
        <f t="shared" ca="1" si="6"/>
        <v>#REF!</v>
      </c>
      <c r="J53" s="170" t="e">
        <f t="shared" ca="1" si="7"/>
        <v>#REF!</v>
      </c>
      <c r="K53" s="173">
        <f t="shared" ca="1" si="8"/>
        <v>0</v>
      </c>
      <c r="L53" s="174" t="e">
        <f t="shared" ca="1" si="9"/>
        <v>#NAME?</v>
      </c>
      <c r="M53" s="166" t="e">
        <f t="shared" ca="1" si="9"/>
        <v>#NAME?</v>
      </c>
      <c r="N53" s="165" t="e">
        <f t="shared" ca="1" si="10"/>
        <v>#NAME?</v>
      </c>
      <c r="O53" s="166" t="e">
        <f t="shared" ca="1" si="11"/>
        <v>#NAME?</v>
      </c>
      <c r="P53" s="165" t="e">
        <f t="shared" ca="1" si="12"/>
        <v>#NAME?</v>
      </c>
      <c r="Q53" s="166" t="e">
        <f t="shared" ca="1" si="13"/>
        <v>#NAME?</v>
      </c>
      <c r="R53" s="175"/>
    </row>
    <row r="54" spans="2:18" s="176" customFormat="1" ht="13.5" hidden="1" thickBot="1" x14ac:dyDescent="0.25">
      <c r="B54" s="167">
        <v>56</v>
      </c>
      <c r="C54" s="171" t="e">
        <f t="shared" ca="1" si="0"/>
        <v>#REF!</v>
      </c>
      <c r="D54" s="375" t="e">
        <f t="shared" ca="1" si="1"/>
        <v>#REF!</v>
      </c>
      <c r="E54" s="168" t="e">
        <f t="shared" ca="1" si="2"/>
        <v>#REF!</v>
      </c>
      <c r="F54" s="393" t="e">
        <f t="shared" ca="1" si="3"/>
        <v>#REF!</v>
      </c>
      <c r="G54" s="380" t="e">
        <f t="shared" ca="1" si="4"/>
        <v>#REF!</v>
      </c>
      <c r="H54" s="172" t="e">
        <f t="shared" ca="1" si="5"/>
        <v>#REF!</v>
      </c>
      <c r="I54" s="169" t="e">
        <f t="shared" ca="1" si="6"/>
        <v>#REF!</v>
      </c>
      <c r="J54" s="170" t="e">
        <f t="shared" ca="1" si="7"/>
        <v>#REF!</v>
      </c>
      <c r="K54" s="173">
        <f t="shared" ca="1" si="8"/>
        <v>0</v>
      </c>
      <c r="L54" s="174" t="e">
        <f t="shared" ca="1" si="9"/>
        <v>#NAME?</v>
      </c>
      <c r="M54" s="166" t="e">
        <f t="shared" ca="1" si="9"/>
        <v>#NAME?</v>
      </c>
      <c r="N54" s="165" t="e">
        <f t="shared" ca="1" si="10"/>
        <v>#NAME?</v>
      </c>
      <c r="O54" s="166" t="e">
        <f t="shared" ca="1" si="11"/>
        <v>#NAME?</v>
      </c>
      <c r="P54" s="165" t="e">
        <f t="shared" ca="1" si="12"/>
        <v>#NAME?</v>
      </c>
      <c r="Q54" s="166" t="e">
        <f t="shared" ca="1" si="13"/>
        <v>#NAME?</v>
      </c>
      <c r="R54" s="175"/>
    </row>
    <row r="55" spans="2:18" s="176" customFormat="1" ht="13.5" hidden="1" thickBot="1" x14ac:dyDescent="0.25">
      <c r="B55" s="167">
        <v>57</v>
      </c>
      <c r="C55" s="171" t="e">
        <f t="shared" ca="1" si="0"/>
        <v>#REF!</v>
      </c>
      <c r="D55" s="375" t="e">
        <f t="shared" ca="1" si="1"/>
        <v>#REF!</v>
      </c>
      <c r="E55" s="168" t="e">
        <f t="shared" ca="1" si="2"/>
        <v>#REF!</v>
      </c>
      <c r="F55" s="393" t="e">
        <f t="shared" ca="1" si="3"/>
        <v>#REF!</v>
      </c>
      <c r="G55" s="380" t="e">
        <f t="shared" ca="1" si="4"/>
        <v>#REF!</v>
      </c>
      <c r="H55" s="172" t="e">
        <f t="shared" ca="1" si="5"/>
        <v>#REF!</v>
      </c>
      <c r="I55" s="169" t="e">
        <f t="shared" ca="1" si="6"/>
        <v>#REF!</v>
      </c>
      <c r="J55" s="170" t="e">
        <f t="shared" ca="1" si="7"/>
        <v>#REF!</v>
      </c>
      <c r="K55" s="173">
        <f t="shared" ca="1" si="8"/>
        <v>0</v>
      </c>
      <c r="L55" s="174" t="e">
        <f t="shared" ca="1" si="9"/>
        <v>#NAME?</v>
      </c>
      <c r="M55" s="166" t="e">
        <f t="shared" ca="1" si="9"/>
        <v>#NAME?</v>
      </c>
      <c r="N55" s="165" t="e">
        <f t="shared" ca="1" si="10"/>
        <v>#NAME?</v>
      </c>
      <c r="O55" s="166" t="e">
        <f t="shared" ca="1" si="11"/>
        <v>#NAME?</v>
      </c>
      <c r="P55" s="165" t="e">
        <f t="shared" ca="1" si="12"/>
        <v>#NAME?</v>
      </c>
      <c r="Q55" s="166" t="e">
        <f t="shared" ca="1" si="13"/>
        <v>#NAME?</v>
      </c>
      <c r="R55" s="175"/>
    </row>
    <row r="56" spans="2:18" s="176" customFormat="1" ht="13.5" hidden="1" thickBot="1" x14ac:dyDescent="0.25">
      <c r="B56" s="167">
        <v>58</v>
      </c>
      <c r="C56" s="171" t="e">
        <f t="shared" ca="1" si="0"/>
        <v>#REF!</v>
      </c>
      <c r="D56" s="375" t="e">
        <f t="shared" ca="1" si="1"/>
        <v>#REF!</v>
      </c>
      <c r="E56" s="168" t="e">
        <f t="shared" ca="1" si="2"/>
        <v>#REF!</v>
      </c>
      <c r="F56" s="393" t="e">
        <f t="shared" ca="1" si="3"/>
        <v>#REF!</v>
      </c>
      <c r="G56" s="380" t="e">
        <f t="shared" ca="1" si="4"/>
        <v>#REF!</v>
      </c>
      <c r="H56" s="172" t="e">
        <f t="shared" ca="1" si="5"/>
        <v>#REF!</v>
      </c>
      <c r="I56" s="169" t="e">
        <f t="shared" ca="1" si="6"/>
        <v>#REF!</v>
      </c>
      <c r="J56" s="170" t="e">
        <f t="shared" ca="1" si="7"/>
        <v>#REF!</v>
      </c>
      <c r="K56" s="173">
        <f t="shared" ca="1" si="8"/>
        <v>0</v>
      </c>
      <c r="L56" s="174" t="e">
        <f t="shared" ca="1" si="9"/>
        <v>#NAME?</v>
      </c>
      <c r="M56" s="166" t="e">
        <f t="shared" ca="1" si="9"/>
        <v>#NAME?</v>
      </c>
      <c r="N56" s="165" t="e">
        <f t="shared" ca="1" si="10"/>
        <v>#NAME?</v>
      </c>
      <c r="O56" s="166" t="e">
        <f t="shared" ca="1" si="11"/>
        <v>#NAME?</v>
      </c>
      <c r="P56" s="165" t="e">
        <f t="shared" ca="1" si="12"/>
        <v>#NAME?</v>
      </c>
      <c r="Q56" s="166" t="e">
        <f t="shared" ca="1" si="13"/>
        <v>#NAME?</v>
      </c>
      <c r="R56" s="175"/>
    </row>
    <row r="57" spans="2:18" s="176" customFormat="1" ht="13.5" hidden="1" thickBot="1" x14ac:dyDescent="0.25">
      <c r="B57" s="167">
        <v>59</v>
      </c>
      <c r="C57" s="171" t="e">
        <f t="shared" ca="1" si="0"/>
        <v>#REF!</v>
      </c>
      <c r="D57" s="375" t="e">
        <f t="shared" ca="1" si="1"/>
        <v>#REF!</v>
      </c>
      <c r="E57" s="168" t="e">
        <f t="shared" ca="1" si="2"/>
        <v>#REF!</v>
      </c>
      <c r="F57" s="393" t="e">
        <f t="shared" ca="1" si="3"/>
        <v>#REF!</v>
      </c>
      <c r="G57" s="380" t="e">
        <f t="shared" ca="1" si="4"/>
        <v>#REF!</v>
      </c>
      <c r="H57" s="172" t="e">
        <f t="shared" ca="1" si="5"/>
        <v>#REF!</v>
      </c>
      <c r="I57" s="169" t="e">
        <f t="shared" ca="1" si="6"/>
        <v>#REF!</v>
      </c>
      <c r="J57" s="170" t="e">
        <f t="shared" ca="1" si="7"/>
        <v>#REF!</v>
      </c>
      <c r="K57" s="173">
        <f t="shared" ca="1" si="8"/>
        <v>0</v>
      </c>
      <c r="L57" s="174" t="e">
        <f t="shared" ca="1" si="9"/>
        <v>#NAME?</v>
      </c>
      <c r="M57" s="166" t="e">
        <f t="shared" ca="1" si="9"/>
        <v>#NAME?</v>
      </c>
      <c r="N57" s="165" t="e">
        <f t="shared" ca="1" si="10"/>
        <v>#NAME?</v>
      </c>
      <c r="O57" s="166" t="e">
        <f t="shared" ca="1" si="11"/>
        <v>#NAME?</v>
      </c>
      <c r="P57" s="165" t="e">
        <f t="shared" ca="1" si="12"/>
        <v>#NAME?</v>
      </c>
      <c r="Q57" s="166" t="e">
        <f t="shared" ca="1" si="13"/>
        <v>#NAME?</v>
      </c>
      <c r="R57" s="175"/>
    </row>
    <row r="58" spans="2:18" s="176" customFormat="1" ht="13.5" hidden="1" thickBot="1" x14ac:dyDescent="0.25">
      <c r="B58" s="167">
        <v>60</v>
      </c>
      <c r="C58" s="171" t="e">
        <f t="shared" ca="1" si="0"/>
        <v>#REF!</v>
      </c>
      <c r="D58" s="375" t="e">
        <f t="shared" ca="1" si="1"/>
        <v>#REF!</v>
      </c>
      <c r="E58" s="168" t="e">
        <f t="shared" ca="1" si="2"/>
        <v>#REF!</v>
      </c>
      <c r="F58" s="393" t="e">
        <f t="shared" ca="1" si="3"/>
        <v>#REF!</v>
      </c>
      <c r="G58" s="380" t="e">
        <f t="shared" ca="1" si="4"/>
        <v>#REF!</v>
      </c>
      <c r="H58" s="172" t="e">
        <f t="shared" ca="1" si="5"/>
        <v>#REF!</v>
      </c>
      <c r="I58" s="169" t="e">
        <f t="shared" ca="1" si="6"/>
        <v>#REF!</v>
      </c>
      <c r="J58" s="170" t="e">
        <f t="shared" ca="1" si="7"/>
        <v>#REF!</v>
      </c>
      <c r="K58" s="173">
        <f t="shared" ca="1" si="8"/>
        <v>0</v>
      </c>
      <c r="L58" s="174" t="e">
        <f t="shared" ca="1" si="9"/>
        <v>#NAME?</v>
      </c>
      <c r="M58" s="166" t="e">
        <f t="shared" ca="1" si="9"/>
        <v>#NAME?</v>
      </c>
      <c r="N58" s="165" t="e">
        <f t="shared" ca="1" si="10"/>
        <v>#NAME?</v>
      </c>
      <c r="O58" s="166" t="e">
        <f t="shared" ca="1" si="11"/>
        <v>#NAME?</v>
      </c>
      <c r="P58" s="165" t="e">
        <f t="shared" ca="1" si="12"/>
        <v>#NAME?</v>
      </c>
      <c r="Q58" s="166" t="e">
        <f t="shared" ca="1" si="13"/>
        <v>#NAME?</v>
      </c>
      <c r="R58" s="175"/>
    </row>
    <row r="59" spans="2:18" s="176" customFormat="1" ht="13.5" hidden="1" thickBot="1" x14ac:dyDescent="0.25">
      <c r="B59" s="167">
        <v>61</v>
      </c>
      <c r="C59" s="171" t="e">
        <f t="shared" ca="1" si="0"/>
        <v>#REF!</v>
      </c>
      <c r="D59" s="375" t="e">
        <f t="shared" ca="1" si="1"/>
        <v>#REF!</v>
      </c>
      <c r="E59" s="168" t="e">
        <f t="shared" ca="1" si="2"/>
        <v>#REF!</v>
      </c>
      <c r="F59" s="393" t="e">
        <f t="shared" ca="1" si="3"/>
        <v>#REF!</v>
      </c>
      <c r="G59" s="380" t="e">
        <f t="shared" ca="1" si="4"/>
        <v>#REF!</v>
      </c>
      <c r="H59" s="172" t="e">
        <f t="shared" ca="1" si="5"/>
        <v>#REF!</v>
      </c>
      <c r="I59" s="169" t="e">
        <f t="shared" ca="1" si="6"/>
        <v>#REF!</v>
      </c>
      <c r="J59" s="170" t="e">
        <f t="shared" ca="1" si="7"/>
        <v>#REF!</v>
      </c>
      <c r="K59" s="173">
        <f t="shared" ca="1" si="8"/>
        <v>0</v>
      </c>
      <c r="L59" s="174" t="e">
        <f t="shared" ca="1" si="9"/>
        <v>#NAME?</v>
      </c>
      <c r="M59" s="166" t="e">
        <f t="shared" ca="1" si="9"/>
        <v>#NAME?</v>
      </c>
      <c r="N59" s="165" t="e">
        <f t="shared" ca="1" si="10"/>
        <v>#NAME?</v>
      </c>
      <c r="O59" s="166" t="e">
        <f t="shared" ca="1" si="11"/>
        <v>#NAME?</v>
      </c>
      <c r="P59" s="165" t="e">
        <f t="shared" ca="1" si="12"/>
        <v>#NAME?</v>
      </c>
      <c r="Q59" s="166" t="e">
        <f t="shared" ca="1" si="13"/>
        <v>#NAME?</v>
      </c>
      <c r="R59" s="175"/>
    </row>
    <row r="60" spans="2:18" s="176" customFormat="1" ht="13.5" hidden="1" thickBot="1" x14ac:dyDescent="0.25">
      <c r="B60" s="167">
        <v>62</v>
      </c>
      <c r="C60" s="171" t="e">
        <f t="shared" ca="1" si="0"/>
        <v>#REF!</v>
      </c>
      <c r="D60" s="375" t="e">
        <f t="shared" ca="1" si="1"/>
        <v>#REF!</v>
      </c>
      <c r="E60" s="168" t="e">
        <f t="shared" ca="1" si="2"/>
        <v>#REF!</v>
      </c>
      <c r="F60" s="393" t="e">
        <f t="shared" ca="1" si="3"/>
        <v>#REF!</v>
      </c>
      <c r="G60" s="380" t="e">
        <f t="shared" ca="1" si="4"/>
        <v>#REF!</v>
      </c>
      <c r="H60" s="172" t="e">
        <f t="shared" ca="1" si="5"/>
        <v>#REF!</v>
      </c>
      <c r="I60" s="169" t="e">
        <f t="shared" ca="1" si="6"/>
        <v>#REF!</v>
      </c>
      <c r="J60" s="170" t="e">
        <f t="shared" ca="1" si="7"/>
        <v>#REF!</v>
      </c>
      <c r="K60" s="173">
        <f t="shared" ca="1" si="8"/>
        <v>0</v>
      </c>
      <c r="L60" s="174" t="e">
        <f t="shared" ca="1" si="9"/>
        <v>#NAME?</v>
      </c>
      <c r="M60" s="166" t="e">
        <f t="shared" ca="1" si="9"/>
        <v>#NAME?</v>
      </c>
      <c r="N60" s="165" t="e">
        <f t="shared" ca="1" si="10"/>
        <v>#NAME?</v>
      </c>
      <c r="O60" s="166" t="e">
        <f t="shared" ca="1" si="11"/>
        <v>#NAME?</v>
      </c>
      <c r="P60" s="165" t="e">
        <f t="shared" ca="1" si="12"/>
        <v>#NAME?</v>
      </c>
      <c r="Q60" s="166" t="e">
        <f t="shared" ca="1" si="13"/>
        <v>#NAME?</v>
      </c>
      <c r="R60" s="175"/>
    </row>
    <row r="61" spans="2:18" s="176" customFormat="1" ht="13.5" hidden="1" thickBot="1" x14ac:dyDescent="0.25">
      <c r="B61" s="167">
        <v>63</v>
      </c>
      <c r="C61" s="171" t="e">
        <f t="shared" ca="1" si="0"/>
        <v>#REF!</v>
      </c>
      <c r="D61" s="375" t="e">
        <f t="shared" ca="1" si="1"/>
        <v>#REF!</v>
      </c>
      <c r="E61" s="168" t="e">
        <f t="shared" ca="1" si="2"/>
        <v>#REF!</v>
      </c>
      <c r="F61" s="393" t="e">
        <f t="shared" ca="1" si="3"/>
        <v>#REF!</v>
      </c>
      <c r="G61" s="380" t="e">
        <f t="shared" ca="1" si="4"/>
        <v>#REF!</v>
      </c>
      <c r="H61" s="172" t="e">
        <f t="shared" ca="1" si="5"/>
        <v>#REF!</v>
      </c>
      <c r="I61" s="169" t="e">
        <f t="shared" ca="1" si="6"/>
        <v>#REF!</v>
      </c>
      <c r="J61" s="170" t="e">
        <f t="shared" ca="1" si="7"/>
        <v>#REF!</v>
      </c>
      <c r="K61" s="173">
        <f t="shared" ca="1" si="8"/>
        <v>0</v>
      </c>
      <c r="L61" s="174" t="e">
        <f t="shared" ca="1" si="9"/>
        <v>#NAME?</v>
      </c>
      <c r="M61" s="166" t="e">
        <f t="shared" ca="1" si="9"/>
        <v>#NAME?</v>
      </c>
      <c r="N61" s="165" t="e">
        <f t="shared" ca="1" si="10"/>
        <v>#NAME?</v>
      </c>
      <c r="O61" s="166" t="e">
        <f t="shared" ca="1" si="11"/>
        <v>#NAME?</v>
      </c>
      <c r="P61" s="165" t="e">
        <f t="shared" ca="1" si="12"/>
        <v>#NAME?</v>
      </c>
      <c r="Q61" s="166" t="e">
        <f t="shared" ca="1" si="13"/>
        <v>#NAME?</v>
      </c>
      <c r="R61" s="175"/>
    </row>
    <row r="62" spans="2:18" s="176" customFormat="1" ht="13.5" hidden="1" outlineLevel="1" thickBot="1" x14ac:dyDescent="0.25">
      <c r="B62" s="167">
        <v>64</v>
      </c>
      <c r="C62" s="171" t="e">
        <f t="shared" ca="1" si="0"/>
        <v>#REF!</v>
      </c>
      <c r="D62" s="375" t="e">
        <f t="shared" ca="1" si="1"/>
        <v>#REF!</v>
      </c>
      <c r="E62" s="168" t="e">
        <f t="shared" ca="1" si="2"/>
        <v>#REF!</v>
      </c>
      <c r="F62" s="393" t="e">
        <f t="shared" ca="1" si="3"/>
        <v>#REF!</v>
      </c>
      <c r="G62" s="380" t="e">
        <f t="shared" ca="1" si="4"/>
        <v>#REF!</v>
      </c>
      <c r="H62" s="172" t="e">
        <f t="shared" ca="1" si="5"/>
        <v>#REF!</v>
      </c>
      <c r="I62" s="169" t="e">
        <f t="shared" ca="1" si="6"/>
        <v>#REF!</v>
      </c>
      <c r="J62" s="170" t="e">
        <f t="shared" ca="1" si="7"/>
        <v>#REF!</v>
      </c>
      <c r="K62" s="173">
        <f t="shared" ca="1" si="8"/>
        <v>0</v>
      </c>
      <c r="L62" s="174" t="e">
        <f t="shared" ca="1" si="9"/>
        <v>#NAME?</v>
      </c>
      <c r="M62" s="166" t="e">
        <f t="shared" ca="1" si="9"/>
        <v>#NAME?</v>
      </c>
      <c r="N62" s="165" t="e">
        <f t="shared" ref="N62:N98" ca="1" si="14">INDEX(INDIRECT("'"&amp;$P$6&amp;"'!"&amp;LETRACOLUMNA(10+($L$7-1)*6)&amp;(24)&amp;":"&amp;LETRACOLUMNA(15+($L$7-1)*6)&amp;(141)),6+($B62-29),3)</f>
        <v>#NAME?</v>
      </c>
      <c r="O62" s="166" t="e">
        <f t="shared" ref="O62:O98" ca="1" si="15">INDEX(INDIRECT("'"&amp;$P$6&amp;"'!"&amp;LETRACOLUMNA(10+($L$7-1)*6)&amp;(24)&amp;":"&amp;LETRACOLUMNA(15+($L$7-1)*6)&amp;(141)),6+($B62-29),4)</f>
        <v>#NAME?</v>
      </c>
      <c r="P62" s="165" t="e">
        <f t="shared" ref="P62:P98" ca="1" si="16">INDEX(INDIRECT("'"&amp;$P$6&amp;"'!"&amp;LETRACOLUMNA(10+($L$7-1)*6)&amp;(24)&amp;":"&amp;LETRACOLUMNA(15+($L$7-1)*5)&amp;(141)),6+($B62-29),1)</f>
        <v>#NAME?</v>
      </c>
      <c r="Q62" s="166" t="e">
        <f t="shared" ref="Q62:Q98" ca="1" si="17">INDEX(INDIRECT("'"&amp;$P$6&amp;"'!"&amp;LETRACOLUMNA(10+($L$7-1)*6)&amp;(24)&amp;":"&amp;LETRACOLUMNA(15+($L$7-1)*6)&amp;(141)),6+($B62-29),2)</f>
        <v>#NAME?</v>
      </c>
      <c r="R62" s="175"/>
    </row>
    <row r="63" spans="2:18" s="176" customFormat="1" ht="13.5" hidden="1" outlineLevel="1" thickBot="1" x14ac:dyDescent="0.25">
      <c r="B63" s="167">
        <v>65</v>
      </c>
      <c r="C63" s="171" t="e">
        <f t="shared" ca="1" si="0"/>
        <v>#REF!</v>
      </c>
      <c r="D63" s="375" t="e">
        <f t="shared" ca="1" si="1"/>
        <v>#REF!</v>
      </c>
      <c r="E63" s="168" t="e">
        <f t="shared" ca="1" si="2"/>
        <v>#REF!</v>
      </c>
      <c r="F63" s="393" t="e">
        <f t="shared" ca="1" si="3"/>
        <v>#REF!</v>
      </c>
      <c r="G63" s="380" t="e">
        <f t="shared" ca="1" si="4"/>
        <v>#REF!</v>
      </c>
      <c r="H63" s="172" t="e">
        <f t="shared" ca="1" si="5"/>
        <v>#REF!</v>
      </c>
      <c r="I63" s="169" t="e">
        <f t="shared" ca="1" si="6"/>
        <v>#REF!</v>
      </c>
      <c r="J63" s="170" t="e">
        <f t="shared" ca="1" si="7"/>
        <v>#REF!</v>
      </c>
      <c r="K63" s="173">
        <f t="shared" ca="1" si="8"/>
        <v>0</v>
      </c>
      <c r="L63" s="174" t="e">
        <f t="shared" ca="1" si="9"/>
        <v>#NAME?</v>
      </c>
      <c r="M63" s="166" t="e">
        <f t="shared" ca="1" si="9"/>
        <v>#NAME?</v>
      </c>
      <c r="N63" s="165" t="e">
        <f t="shared" ca="1" si="14"/>
        <v>#NAME?</v>
      </c>
      <c r="O63" s="166" t="e">
        <f t="shared" ca="1" si="15"/>
        <v>#NAME?</v>
      </c>
      <c r="P63" s="165" t="e">
        <f t="shared" ca="1" si="16"/>
        <v>#NAME?</v>
      </c>
      <c r="Q63" s="166" t="e">
        <f t="shared" ca="1" si="17"/>
        <v>#NAME?</v>
      </c>
      <c r="R63" s="175"/>
    </row>
    <row r="64" spans="2:18" s="176" customFormat="1" ht="13.5" hidden="1" outlineLevel="1" thickBot="1" x14ac:dyDescent="0.25">
      <c r="B64" s="167">
        <v>66</v>
      </c>
      <c r="C64" s="171" t="e">
        <f t="shared" ca="1" si="0"/>
        <v>#REF!</v>
      </c>
      <c r="D64" s="375" t="e">
        <f t="shared" ca="1" si="1"/>
        <v>#REF!</v>
      </c>
      <c r="E64" s="168" t="e">
        <f t="shared" ca="1" si="2"/>
        <v>#REF!</v>
      </c>
      <c r="F64" s="393" t="e">
        <f t="shared" ca="1" si="3"/>
        <v>#REF!</v>
      </c>
      <c r="G64" s="380" t="e">
        <f t="shared" ca="1" si="4"/>
        <v>#REF!</v>
      </c>
      <c r="H64" s="172" t="e">
        <f t="shared" ca="1" si="5"/>
        <v>#REF!</v>
      </c>
      <c r="I64" s="169" t="e">
        <f t="shared" ca="1" si="6"/>
        <v>#REF!</v>
      </c>
      <c r="J64" s="170" t="e">
        <f t="shared" ca="1" si="7"/>
        <v>#REF!</v>
      </c>
      <c r="K64" s="173">
        <f t="shared" ca="1" si="8"/>
        <v>0</v>
      </c>
      <c r="L64" s="174" t="e">
        <f t="shared" ca="1" si="9"/>
        <v>#NAME?</v>
      </c>
      <c r="M64" s="166" t="e">
        <f t="shared" ca="1" si="9"/>
        <v>#NAME?</v>
      </c>
      <c r="N64" s="165" t="e">
        <f t="shared" ca="1" si="14"/>
        <v>#NAME?</v>
      </c>
      <c r="O64" s="166" t="e">
        <f t="shared" ca="1" si="15"/>
        <v>#NAME?</v>
      </c>
      <c r="P64" s="165" t="e">
        <f t="shared" ca="1" si="16"/>
        <v>#NAME?</v>
      </c>
      <c r="Q64" s="166" t="e">
        <f t="shared" ca="1" si="17"/>
        <v>#NAME?</v>
      </c>
      <c r="R64" s="175"/>
    </row>
    <row r="65" spans="2:18" s="176" customFormat="1" ht="13.5" hidden="1" outlineLevel="1" thickBot="1" x14ac:dyDescent="0.25">
      <c r="B65" s="167">
        <v>67</v>
      </c>
      <c r="C65" s="171" t="e">
        <f t="shared" ca="1" si="0"/>
        <v>#REF!</v>
      </c>
      <c r="D65" s="375" t="e">
        <f t="shared" ca="1" si="1"/>
        <v>#REF!</v>
      </c>
      <c r="E65" s="168" t="e">
        <f t="shared" ca="1" si="2"/>
        <v>#REF!</v>
      </c>
      <c r="F65" s="393" t="e">
        <f t="shared" ca="1" si="3"/>
        <v>#REF!</v>
      </c>
      <c r="G65" s="380" t="e">
        <f t="shared" ca="1" si="4"/>
        <v>#REF!</v>
      </c>
      <c r="H65" s="172" t="e">
        <f t="shared" ca="1" si="5"/>
        <v>#REF!</v>
      </c>
      <c r="I65" s="169" t="e">
        <f t="shared" ca="1" si="6"/>
        <v>#REF!</v>
      </c>
      <c r="J65" s="170" t="e">
        <f t="shared" ca="1" si="7"/>
        <v>#REF!</v>
      </c>
      <c r="K65" s="173">
        <f t="shared" ca="1" si="8"/>
        <v>0</v>
      </c>
      <c r="L65" s="174" t="e">
        <f t="shared" ca="1" si="9"/>
        <v>#NAME?</v>
      </c>
      <c r="M65" s="166" t="e">
        <f t="shared" ca="1" si="9"/>
        <v>#NAME?</v>
      </c>
      <c r="N65" s="165" t="e">
        <f t="shared" ca="1" si="14"/>
        <v>#NAME?</v>
      </c>
      <c r="O65" s="166" t="e">
        <f t="shared" ca="1" si="15"/>
        <v>#NAME?</v>
      </c>
      <c r="P65" s="165" t="e">
        <f t="shared" ca="1" si="16"/>
        <v>#NAME?</v>
      </c>
      <c r="Q65" s="166" t="e">
        <f t="shared" ca="1" si="17"/>
        <v>#NAME?</v>
      </c>
      <c r="R65" s="175"/>
    </row>
    <row r="66" spans="2:18" s="176" customFormat="1" ht="13.5" hidden="1" outlineLevel="1" thickBot="1" x14ac:dyDescent="0.25">
      <c r="B66" s="167">
        <v>68</v>
      </c>
      <c r="C66" s="171" t="e">
        <f t="shared" ca="1" si="0"/>
        <v>#REF!</v>
      </c>
      <c r="D66" s="375" t="e">
        <f t="shared" ca="1" si="1"/>
        <v>#REF!</v>
      </c>
      <c r="E66" s="168" t="e">
        <f t="shared" ca="1" si="2"/>
        <v>#REF!</v>
      </c>
      <c r="F66" s="393" t="e">
        <f t="shared" ca="1" si="3"/>
        <v>#REF!</v>
      </c>
      <c r="G66" s="380" t="e">
        <f t="shared" ca="1" si="4"/>
        <v>#REF!</v>
      </c>
      <c r="H66" s="172" t="e">
        <f t="shared" ca="1" si="5"/>
        <v>#REF!</v>
      </c>
      <c r="I66" s="169" t="e">
        <f t="shared" ca="1" si="6"/>
        <v>#REF!</v>
      </c>
      <c r="J66" s="170" t="e">
        <f t="shared" ca="1" si="7"/>
        <v>#REF!</v>
      </c>
      <c r="K66" s="173">
        <f t="shared" ca="1" si="8"/>
        <v>0</v>
      </c>
      <c r="L66" s="174" t="e">
        <f t="shared" ca="1" si="9"/>
        <v>#NAME?</v>
      </c>
      <c r="M66" s="166" t="e">
        <f t="shared" ca="1" si="9"/>
        <v>#NAME?</v>
      </c>
      <c r="N66" s="165" t="e">
        <f t="shared" ca="1" si="14"/>
        <v>#NAME?</v>
      </c>
      <c r="O66" s="166" t="e">
        <f t="shared" ca="1" si="15"/>
        <v>#NAME?</v>
      </c>
      <c r="P66" s="165" t="e">
        <f t="shared" ca="1" si="16"/>
        <v>#NAME?</v>
      </c>
      <c r="Q66" s="166" t="e">
        <f t="shared" ca="1" si="17"/>
        <v>#NAME?</v>
      </c>
      <c r="R66" s="175"/>
    </row>
    <row r="67" spans="2:18" s="176" customFormat="1" ht="13.5" hidden="1" outlineLevel="1" thickBot="1" x14ac:dyDescent="0.25">
      <c r="B67" s="167">
        <v>69</v>
      </c>
      <c r="C67" s="171" t="e">
        <f t="shared" ca="1" si="0"/>
        <v>#REF!</v>
      </c>
      <c r="D67" s="375" t="e">
        <f t="shared" ca="1" si="1"/>
        <v>#REF!</v>
      </c>
      <c r="E67" s="168" t="e">
        <f t="shared" ca="1" si="2"/>
        <v>#REF!</v>
      </c>
      <c r="F67" s="393" t="e">
        <f t="shared" ca="1" si="3"/>
        <v>#REF!</v>
      </c>
      <c r="G67" s="380" t="e">
        <f t="shared" ca="1" si="4"/>
        <v>#REF!</v>
      </c>
      <c r="H67" s="172" t="e">
        <f t="shared" ca="1" si="5"/>
        <v>#REF!</v>
      </c>
      <c r="I67" s="169" t="e">
        <f t="shared" ca="1" si="6"/>
        <v>#REF!</v>
      </c>
      <c r="J67" s="170" t="e">
        <f t="shared" ca="1" si="7"/>
        <v>#REF!</v>
      </c>
      <c r="K67" s="173">
        <f t="shared" ca="1" si="8"/>
        <v>0</v>
      </c>
      <c r="L67" s="174" t="e">
        <f t="shared" ca="1" si="9"/>
        <v>#NAME?</v>
      </c>
      <c r="M67" s="166" t="e">
        <f t="shared" ca="1" si="9"/>
        <v>#NAME?</v>
      </c>
      <c r="N67" s="165" t="e">
        <f t="shared" ca="1" si="14"/>
        <v>#NAME?</v>
      </c>
      <c r="O67" s="166" t="e">
        <f t="shared" ca="1" si="15"/>
        <v>#NAME?</v>
      </c>
      <c r="P67" s="165" t="e">
        <f t="shared" ca="1" si="16"/>
        <v>#NAME?</v>
      </c>
      <c r="Q67" s="166" t="e">
        <f t="shared" ca="1" si="17"/>
        <v>#NAME?</v>
      </c>
      <c r="R67" s="175"/>
    </row>
    <row r="68" spans="2:18" s="176" customFormat="1" ht="13.5" hidden="1" outlineLevel="1" thickBot="1" x14ac:dyDescent="0.25">
      <c r="B68" s="167">
        <v>70</v>
      </c>
      <c r="C68" s="171" t="e">
        <f t="shared" ca="1" si="0"/>
        <v>#REF!</v>
      </c>
      <c r="D68" s="375" t="e">
        <f t="shared" ca="1" si="1"/>
        <v>#REF!</v>
      </c>
      <c r="E68" s="168" t="e">
        <f t="shared" ca="1" si="2"/>
        <v>#REF!</v>
      </c>
      <c r="F68" s="393" t="e">
        <f t="shared" ca="1" si="3"/>
        <v>#REF!</v>
      </c>
      <c r="G68" s="380" t="e">
        <f t="shared" ca="1" si="4"/>
        <v>#REF!</v>
      </c>
      <c r="H68" s="172" t="e">
        <f t="shared" ca="1" si="5"/>
        <v>#REF!</v>
      </c>
      <c r="I68" s="169" t="e">
        <f t="shared" ca="1" si="6"/>
        <v>#REF!</v>
      </c>
      <c r="J68" s="170" t="e">
        <f t="shared" ca="1" si="7"/>
        <v>#REF!</v>
      </c>
      <c r="K68" s="173">
        <f t="shared" ca="1" si="8"/>
        <v>0</v>
      </c>
      <c r="L68" s="174" t="e">
        <f t="shared" ca="1" si="9"/>
        <v>#NAME?</v>
      </c>
      <c r="M68" s="166" t="e">
        <f t="shared" ca="1" si="9"/>
        <v>#NAME?</v>
      </c>
      <c r="N68" s="165" t="e">
        <f t="shared" ca="1" si="14"/>
        <v>#NAME?</v>
      </c>
      <c r="O68" s="166" t="e">
        <f t="shared" ca="1" si="15"/>
        <v>#NAME?</v>
      </c>
      <c r="P68" s="165" t="e">
        <f t="shared" ca="1" si="16"/>
        <v>#NAME?</v>
      </c>
      <c r="Q68" s="166" t="e">
        <f t="shared" ca="1" si="17"/>
        <v>#NAME?</v>
      </c>
      <c r="R68" s="175"/>
    </row>
    <row r="69" spans="2:18" s="176" customFormat="1" ht="13.5" hidden="1" outlineLevel="1" thickBot="1" x14ac:dyDescent="0.25">
      <c r="B69" s="167">
        <v>71</v>
      </c>
      <c r="C69" s="171" t="e">
        <f t="shared" ca="1" si="0"/>
        <v>#REF!</v>
      </c>
      <c r="D69" s="375" t="e">
        <f t="shared" ca="1" si="1"/>
        <v>#REF!</v>
      </c>
      <c r="E69" s="168" t="e">
        <f t="shared" ca="1" si="2"/>
        <v>#REF!</v>
      </c>
      <c r="F69" s="393" t="e">
        <f t="shared" ca="1" si="3"/>
        <v>#REF!</v>
      </c>
      <c r="G69" s="380" t="e">
        <f t="shared" ca="1" si="4"/>
        <v>#REF!</v>
      </c>
      <c r="H69" s="172" t="e">
        <f t="shared" ca="1" si="5"/>
        <v>#REF!</v>
      </c>
      <c r="I69" s="169" t="e">
        <f t="shared" ca="1" si="6"/>
        <v>#REF!</v>
      </c>
      <c r="J69" s="170" t="e">
        <f t="shared" ca="1" si="7"/>
        <v>#REF!</v>
      </c>
      <c r="K69" s="173">
        <f t="shared" ca="1" si="8"/>
        <v>0</v>
      </c>
      <c r="L69" s="174" t="e">
        <f t="shared" ca="1" si="9"/>
        <v>#NAME?</v>
      </c>
      <c r="M69" s="166" t="e">
        <f t="shared" ca="1" si="9"/>
        <v>#NAME?</v>
      </c>
      <c r="N69" s="165" t="e">
        <f t="shared" ca="1" si="14"/>
        <v>#NAME?</v>
      </c>
      <c r="O69" s="166" t="e">
        <f t="shared" ca="1" si="15"/>
        <v>#NAME?</v>
      </c>
      <c r="P69" s="165" t="e">
        <f t="shared" ca="1" si="16"/>
        <v>#NAME?</v>
      </c>
      <c r="Q69" s="166" t="e">
        <f t="shared" ca="1" si="17"/>
        <v>#NAME?</v>
      </c>
      <c r="R69" s="175"/>
    </row>
    <row r="70" spans="2:18" s="176" customFormat="1" ht="13.5" hidden="1" outlineLevel="1" thickBot="1" x14ac:dyDescent="0.25">
      <c r="B70" s="167">
        <v>72</v>
      </c>
      <c r="C70" s="171" t="e">
        <f t="shared" ca="1" si="0"/>
        <v>#REF!</v>
      </c>
      <c r="D70" s="375" t="e">
        <f t="shared" ca="1" si="1"/>
        <v>#REF!</v>
      </c>
      <c r="E70" s="168" t="e">
        <f t="shared" ca="1" si="2"/>
        <v>#REF!</v>
      </c>
      <c r="F70" s="393" t="e">
        <f t="shared" ca="1" si="3"/>
        <v>#REF!</v>
      </c>
      <c r="G70" s="380" t="e">
        <f t="shared" ca="1" si="4"/>
        <v>#REF!</v>
      </c>
      <c r="H70" s="172" t="e">
        <f t="shared" ca="1" si="5"/>
        <v>#REF!</v>
      </c>
      <c r="I70" s="169" t="e">
        <f t="shared" ca="1" si="6"/>
        <v>#REF!</v>
      </c>
      <c r="J70" s="170" t="e">
        <f t="shared" ca="1" si="7"/>
        <v>#REF!</v>
      </c>
      <c r="K70" s="173">
        <f t="shared" ca="1" si="8"/>
        <v>0</v>
      </c>
      <c r="L70" s="174" t="e">
        <f t="shared" ca="1" si="9"/>
        <v>#NAME?</v>
      </c>
      <c r="M70" s="166" t="e">
        <f t="shared" ca="1" si="9"/>
        <v>#NAME?</v>
      </c>
      <c r="N70" s="165" t="e">
        <f t="shared" ca="1" si="14"/>
        <v>#NAME?</v>
      </c>
      <c r="O70" s="166" t="e">
        <f t="shared" ca="1" si="15"/>
        <v>#NAME?</v>
      </c>
      <c r="P70" s="165" t="e">
        <f t="shared" ca="1" si="16"/>
        <v>#NAME?</v>
      </c>
      <c r="Q70" s="166" t="e">
        <f t="shared" ca="1" si="17"/>
        <v>#NAME?</v>
      </c>
      <c r="R70" s="175"/>
    </row>
    <row r="71" spans="2:18" s="176" customFormat="1" ht="13.5" hidden="1" outlineLevel="1" thickBot="1" x14ac:dyDescent="0.25">
      <c r="B71" s="167">
        <v>73</v>
      </c>
      <c r="C71" s="171" t="e">
        <f t="shared" ca="1" si="0"/>
        <v>#REF!</v>
      </c>
      <c r="D71" s="375" t="e">
        <f t="shared" ca="1" si="1"/>
        <v>#REF!</v>
      </c>
      <c r="E71" s="168" t="e">
        <f t="shared" ca="1" si="2"/>
        <v>#REF!</v>
      </c>
      <c r="F71" s="393" t="e">
        <f t="shared" ca="1" si="3"/>
        <v>#REF!</v>
      </c>
      <c r="G71" s="380" t="e">
        <f t="shared" ca="1" si="4"/>
        <v>#REF!</v>
      </c>
      <c r="H71" s="172" t="e">
        <f t="shared" ca="1" si="5"/>
        <v>#REF!</v>
      </c>
      <c r="I71" s="169" t="e">
        <f t="shared" ca="1" si="6"/>
        <v>#REF!</v>
      </c>
      <c r="J71" s="170" t="e">
        <f t="shared" ca="1" si="7"/>
        <v>#REF!</v>
      </c>
      <c r="K71" s="173">
        <f t="shared" ca="1" si="8"/>
        <v>0</v>
      </c>
      <c r="L71" s="174" t="e">
        <f t="shared" ca="1" si="9"/>
        <v>#NAME?</v>
      </c>
      <c r="M71" s="166" t="e">
        <f t="shared" ca="1" si="9"/>
        <v>#NAME?</v>
      </c>
      <c r="N71" s="165" t="e">
        <f t="shared" ca="1" si="14"/>
        <v>#NAME?</v>
      </c>
      <c r="O71" s="166" t="e">
        <f t="shared" ca="1" si="15"/>
        <v>#NAME?</v>
      </c>
      <c r="P71" s="165" t="e">
        <f t="shared" ca="1" si="16"/>
        <v>#NAME?</v>
      </c>
      <c r="Q71" s="166" t="e">
        <f t="shared" ca="1" si="17"/>
        <v>#NAME?</v>
      </c>
      <c r="R71" s="175"/>
    </row>
    <row r="72" spans="2:18" s="176" customFormat="1" ht="13.5" hidden="1" outlineLevel="1" thickBot="1" x14ac:dyDescent="0.25">
      <c r="B72" s="167">
        <v>74</v>
      </c>
      <c r="C72" s="171" t="e">
        <f t="shared" ca="1" si="0"/>
        <v>#REF!</v>
      </c>
      <c r="D72" s="375" t="e">
        <f t="shared" ca="1" si="1"/>
        <v>#REF!</v>
      </c>
      <c r="E72" s="168" t="e">
        <f t="shared" ca="1" si="2"/>
        <v>#REF!</v>
      </c>
      <c r="F72" s="393" t="e">
        <f t="shared" ca="1" si="3"/>
        <v>#REF!</v>
      </c>
      <c r="G72" s="380" t="e">
        <f t="shared" ca="1" si="4"/>
        <v>#REF!</v>
      </c>
      <c r="H72" s="172" t="e">
        <f t="shared" ca="1" si="5"/>
        <v>#REF!</v>
      </c>
      <c r="I72" s="169" t="e">
        <f t="shared" ca="1" si="6"/>
        <v>#REF!</v>
      </c>
      <c r="J72" s="170" t="e">
        <f t="shared" ca="1" si="7"/>
        <v>#REF!</v>
      </c>
      <c r="K72" s="173">
        <f t="shared" ca="1" si="8"/>
        <v>0</v>
      </c>
      <c r="L72" s="174" t="e">
        <f t="shared" ca="1" si="9"/>
        <v>#NAME?</v>
      </c>
      <c r="M72" s="166" t="e">
        <f t="shared" ca="1" si="9"/>
        <v>#NAME?</v>
      </c>
      <c r="N72" s="165" t="e">
        <f t="shared" ca="1" si="14"/>
        <v>#NAME?</v>
      </c>
      <c r="O72" s="166" t="e">
        <f t="shared" ca="1" si="15"/>
        <v>#NAME?</v>
      </c>
      <c r="P72" s="165" t="e">
        <f t="shared" ca="1" si="16"/>
        <v>#NAME?</v>
      </c>
      <c r="Q72" s="166" t="e">
        <f t="shared" ca="1" si="17"/>
        <v>#NAME?</v>
      </c>
      <c r="R72" s="175"/>
    </row>
    <row r="73" spans="2:18" s="176" customFormat="1" ht="13.5" hidden="1" outlineLevel="1" thickBot="1" x14ac:dyDescent="0.25">
      <c r="B73" s="167">
        <v>75</v>
      </c>
      <c r="C73" s="171" t="e">
        <f t="shared" ca="1" si="0"/>
        <v>#REF!</v>
      </c>
      <c r="D73" s="375" t="e">
        <f t="shared" ca="1" si="1"/>
        <v>#REF!</v>
      </c>
      <c r="E73" s="168" t="e">
        <f t="shared" ca="1" si="2"/>
        <v>#REF!</v>
      </c>
      <c r="F73" s="393" t="e">
        <f t="shared" ca="1" si="3"/>
        <v>#REF!</v>
      </c>
      <c r="G73" s="380" t="e">
        <f t="shared" ca="1" si="4"/>
        <v>#REF!</v>
      </c>
      <c r="H73" s="172" t="e">
        <f t="shared" ca="1" si="5"/>
        <v>#REF!</v>
      </c>
      <c r="I73" s="169" t="e">
        <f t="shared" ca="1" si="6"/>
        <v>#REF!</v>
      </c>
      <c r="J73" s="170" t="e">
        <f t="shared" ca="1" si="7"/>
        <v>#REF!</v>
      </c>
      <c r="K73" s="173">
        <f t="shared" ca="1" si="8"/>
        <v>0</v>
      </c>
      <c r="L73" s="174" t="e">
        <f t="shared" ca="1" si="9"/>
        <v>#NAME?</v>
      </c>
      <c r="M73" s="166" t="e">
        <f t="shared" ca="1" si="9"/>
        <v>#NAME?</v>
      </c>
      <c r="N73" s="165" t="e">
        <f t="shared" ca="1" si="14"/>
        <v>#NAME?</v>
      </c>
      <c r="O73" s="166" t="e">
        <f t="shared" ca="1" si="15"/>
        <v>#NAME?</v>
      </c>
      <c r="P73" s="165" t="e">
        <f t="shared" ca="1" si="16"/>
        <v>#NAME?</v>
      </c>
      <c r="Q73" s="166" t="e">
        <f t="shared" ca="1" si="17"/>
        <v>#NAME?</v>
      </c>
      <c r="R73" s="175"/>
    </row>
    <row r="74" spans="2:18" s="176" customFormat="1" ht="13.5" hidden="1" outlineLevel="1" thickBot="1" x14ac:dyDescent="0.25">
      <c r="B74" s="167">
        <v>76</v>
      </c>
      <c r="C74" s="171" t="e">
        <f t="shared" ca="1" si="0"/>
        <v>#REF!</v>
      </c>
      <c r="D74" s="375" t="e">
        <f t="shared" ca="1" si="1"/>
        <v>#REF!</v>
      </c>
      <c r="E74" s="168" t="e">
        <f t="shared" ca="1" si="2"/>
        <v>#REF!</v>
      </c>
      <c r="F74" s="393" t="e">
        <f t="shared" ca="1" si="3"/>
        <v>#REF!</v>
      </c>
      <c r="G74" s="380" t="e">
        <f t="shared" ca="1" si="4"/>
        <v>#REF!</v>
      </c>
      <c r="H74" s="172" t="e">
        <f t="shared" ca="1" si="5"/>
        <v>#REF!</v>
      </c>
      <c r="I74" s="169" t="e">
        <f t="shared" ca="1" si="6"/>
        <v>#REF!</v>
      </c>
      <c r="J74" s="170" t="e">
        <f t="shared" ca="1" si="7"/>
        <v>#REF!</v>
      </c>
      <c r="K74" s="173">
        <f t="shared" ca="1" si="8"/>
        <v>0</v>
      </c>
      <c r="L74" s="174" t="e">
        <f t="shared" ca="1" si="9"/>
        <v>#NAME?</v>
      </c>
      <c r="M74" s="166" t="e">
        <f t="shared" ca="1" si="9"/>
        <v>#NAME?</v>
      </c>
      <c r="N74" s="165" t="e">
        <f t="shared" ca="1" si="14"/>
        <v>#NAME?</v>
      </c>
      <c r="O74" s="166" t="e">
        <f t="shared" ca="1" si="15"/>
        <v>#NAME?</v>
      </c>
      <c r="P74" s="165" t="e">
        <f t="shared" ca="1" si="16"/>
        <v>#NAME?</v>
      </c>
      <c r="Q74" s="166" t="e">
        <f t="shared" ca="1" si="17"/>
        <v>#NAME?</v>
      </c>
      <c r="R74" s="175"/>
    </row>
    <row r="75" spans="2:18" s="176" customFormat="1" ht="13.5" hidden="1" outlineLevel="1" thickBot="1" x14ac:dyDescent="0.25">
      <c r="B75" s="167">
        <v>77</v>
      </c>
      <c r="C75" s="171" t="e">
        <f t="shared" ca="1" si="0"/>
        <v>#REF!</v>
      </c>
      <c r="D75" s="375" t="e">
        <f t="shared" ca="1" si="1"/>
        <v>#REF!</v>
      </c>
      <c r="E75" s="168" t="e">
        <f t="shared" ca="1" si="2"/>
        <v>#REF!</v>
      </c>
      <c r="F75" s="393" t="e">
        <f t="shared" ca="1" si="3"/>
        <v>#REF!</v>
      </c>
      <c r="G75" s="380" t="e">
        <f t="shared" ca="1" si="4"/>
        <v>#REF!</v>
      </c>
      <c r="H75" s="172" t="e">
        <f t="shared" ca="1" si="5"/>
        <v>#REF!</v>
      </c>
      <c r="I75" s="169" t="e">
        <f t="shared" ca="1" si="6"/>
        <v>#REF!</v>
      </c>
      <c r="J75" s="170" t="e">
        <f t="shared" ca="1" si="7"/>
        <v>#REF!</v>
      </c>
      <c r="K75" s="173">
        <f t="shared" ca="1" si="8"/>
        <v>0</v>
      </c>
      <c r="L75" s="174" t="e">
        <f t="shared" ca="1" si="9"/>
        <v>#NAME?</v>
      </c>
      <c r="M75" s="166" t="e">
        <f t="shared" ca="1" si="9"/>
        <v>#NAME?</v>
      </c>
      <c r="N75" s="165" t="e">
        <f t="shared" ca="1" si="14"/>
        <v>#NAME?</v>
      </c>
      <c r="O75" s="166" t="e">
        <f t="shared" ca="1" si="15"/>
        <v>#NAME?</v>
      </c>
      <c r="P75" s="165" t="e">
        <f t="shared" ca="1" si="16"/>
        <v>#NAME?</v>
      </c>
      <c r="Q75" s="166" t="e">
        <f t="shared" ca="1" si="17"/>
        <v>#NAME?</v>
      </c>
      <c r="R75" s="175"/>
    </row>
    <row r="76" spans="2:18" s="176" customFormat="1" ht="13.5" hidden="1" outlineLevel="1" thickBot="1" x14ac:dyDescent="0.25">
      <c r="B76" s="167">
        <v>78</v>
      </c>
      <c r="C76" s="171" t="e">
        <f t="shared" ca="1" si="0"/>
        <v>#REF!</v>
      </c>
      <c r="D76" s="375" t="e">
        <f t="shared" ca="1" si="1"/>
        <v>#REF!</v>
      </c>
      <c r="E76" s="168" t="e">
        <f t="shared" ca="1" si="2"/>
        <v>#REF!</v>
      </c>
      <c r="F76" s="393" t="e">
        <f t="shared" ca="1" si="3"/>
        <v>#REF!</v>
      </c>
      <c r="G76" s="380" t="e">
        <f t="shared" ca="1" si="4"/>
        <v>#REF!</v>
      </c>
      <c r="H76" s="172" t="e">
        <f t="shared" ca="1" si="5"/>
        <v>#REF!</v>
      </c>
      <c r="I76" s="169" t="e">
        <f t="shared" ca="1" si="6"/>
        <v>#REF!</v>
      </c>
      <c r="J76" s="170" t="e">
        <f t="shared" ca="1" si="7"/>
        <v>#REF!</v>
      </c>
      <c r="K76" s="173">
        <f t="shared" ca="1" si="8"/>
        <v>0</v>
      </c>
      <c r="L76" s="174" t="e">
        <f t="shared" ca="1" si="9"/>
        <v>#NAME?</v>
      </c>
      <c r="M76" s="166" t="e">
        <f t="shared" ca="1" si="9"/>
        <v>#NAME?</v>
      </c>
      <c r="N76" s="165" t="e">
        <f t="shared" ca="1" si="14"/>
        <v>#NAME?</v>
      </c>
      <c r="O76" s="166" t="e">
        <f t="shared" ca="1" si="15"/>
        <v>#NAME?</v>
      </c>
      <c r="P76" s="165" t="e">
        <f t="shared" ca="1" si="16"/>
        <v>#NAME?</v>
      </c>
      <c r="Q76" s="166" t="e">
        <f t="shared" ca="1" si="17"/>
        <v>#NAME?</v>
      </c>
      <c r="R76" s="175"/>
    </row>
    <row r="77" spans="2:18" s="176" customFormat="1" ht="13.5" hidden="1" outlineLevel="1" thickBot="1" x14ac:dyDescent="0.25">
      <c r="B77" s="167">
        <v>79</v>
      </c>
      <c r="C77" s="171" t="e">
        <f t="shared" ca="1" si="0"/>
        <v>#REF!</v>
      </c>
      <c r="D77" s="375" t="e">
        <f t="shared" ca="1" si="1"/>
        <v>#REF!</v>
      </c>
      <c r="E77" s="168" t="e">
        <f t="shared" ca="1" si="2"/>
        <v>#REF!</v>
      </c>
      <c r="F77" s="393" t="e">
        <f t="shared" ca="1" si="3"/>
        <v>#REF!</v>
      </c>
      <c r="G77" s="380" t="e">
        <f t="shared" ca="1" si="4"/>
        <v>#REF!</v>
      </c>
      <c r="H77" s="172" t="e">
        <f t="shared" ca="1" si="5"/>
        <v>#REF!</v>
      </c>
      <c r="I77" s="169" t="e">
        <f t="shared" ca="1" si="6"/>
        <v>#REF!</v>
      </c>
      <c r="J77" s="170" t="e">
        <f t="shared" ca="1" si="7"/>
        <v>#REF!</v>
      </c>
      <c r="K77" s="173">
        <f t="shared" ca="1" si="8"/>
        <v>0</v>
      </c>
      <c r="L77" s="174" t="e">
        <f t="shared" ca="1" si="9"/>
        <v>#NAME?</v>
      </c>
      <c r="M77" s="166" t="e">
        <f t="shared" ca="1" si="9"/>
        <v>#NAME?</v>
      </c>
      <c r="N77" s="165" t="e">
        <f t="shared" ca="1" si="14"/>
        <v>#NAME?</v>
      </c>
      <c r="O77" s="166" t="e">
        <f t="shared" ca="1" si="15"/>
        <v>#NAME?</v>
      </c>
      <c r="P77" s="165" t="e">
        <f t="shared" ca="1" si="16"/>
        <v>#NAME?</v>
      </c>
      <c r="Q77" s="166" t="e">
        <f t="shared" ca="1" si="17"/>
        <v>#NAME?</v>
      </c>
      <c r="R77" s="175"/>
    </row>
    <row r="78" spans="2:18" s="176" customFormat="1" ht="13.5" hidden="1" outlineLevel="1" thickBot="1" x14ac:dyDescent="0.25">
      <c r="B78" s="167">
        <v>80</v>
      </c>
      <c r="C78" s="171" t="e">
        <f t="shared" ca="1" si="0"/>
        <v>#REF!</v>
      </c>
      <c r="D78" s="375" t="e">
        <f t="shared" ca="1" si="1"/>
        <v>#REF!</v>
      </c>
      <c r="E78" s="168" t="e">
        <f t="shared" ca="1" si="2"/>
        <v>#REF!</v>
      </c>
      <c r="F78" s="393" t="e">
        <f t="shared" ca="1" si="3"/>
        <v>#REF!</v>
      </c>
      <c r="G78" s="380" t="e">
        <f t="shared" ca="1" si="4"/>
        <v>#REF!</v>
      </c>
      <c r="H78" s="172" t="e">
        <f t="shared" ca="1" si="5"/>
        <v>#REF!</v>
      </c>
      <c r="I78" s="169" t="e">
        <f t="shared" ca="1" si="6"/>
        <v>#REF!</v>
      </c>
      <c r="J78" s="170" t="e">
        <f t="shared" ca="1" si="7"/>
        <v>#REF!</v>
      </c>
      <c r="K78" s="173">
        <f t="shared" ca="1" si="8"/>
        <v>0</v>
      </c>
      <c r="L78" s="174" t="e">
        <f t="shared" ca="1" si="9"/>
        <v>#NAME?</v>
      </c>
      <c r="M78" s="166" t="e">
        <f t="shared" ca="1" si="9"/>
        <v>#NAME?</v>
      </c>
      <c r="N78" s="165" t="e">
        <f t="shared" ca="1" si="14"/>
        <v>#NAME?</v>
      </c>
      <c r="O78" s="166" t="e">
        <f t="shared" ca="1" si="15"/>
        <v>#NAME?</v>
      </c>
      <c r="P78" s="165" t="e">
        <f t="shared" ca="1" si="16"/>
        <v>#NAME?</v>
      </c>
      <c r="Q78" s="166" t="e">
        <f t="shared" ca="1" si="17"/>
        <v>#NAME?</v>
      </c>
      <c r="R78" s="175"/>
    </row>
    <row r="79" spans="2:18" s="176" customFormat="1" ht="13.5" hidden="1" outlineLevel="1" thickBot="1" x14ac:dyDescent="0.25">
      <c r="B79" s="167">
        <v>81</v>
      </c>
      <c r="C79" s="171" t="e">
        <f t="shared" ca="1" si="0"/>
        <v>#REF!</v>
      </c>
      <c r="D79" s="375" t="e">
        <f t="shared" ca="1" si="1"/>
        <v>#REF!</v>
      </c>
      <c r="E79" s="168" t="e">
        <f t="shared" ca="1" si="2"/>
        <v>#REF!</v>
      </c>
      <c r="F79" s="393" t="e">
        <f t="shared" ca="1" si="3"/>
        <v>#REF!</v>
      </c>
      <c r="G79" s="380" t="e">
        <f t="shared" ca="1" si="4"/>
        <v>#REF!</v>
      </c>
      <c r="H79" s="172" t="e">
        <f t="shared" ca="1" si="5"/>
        <v>#REF!</v>
      </c>
      <c r="I79" s="169" t="e">
        <f t="shared" ca="1" si="6"/>
        <v>#REF!</v>
      </c>
      <c r="J79" s="170" t="e">
        <f t="shared" ca="1" si="7"/>
        <v>#REF!</v>
      </c>
      <c r="K79" s="173">
        <f t="shared" ca="1" si="8"/>
        <v>0</v>
      </c>
      <c r="L79" s="174" t="e">
        <f t="shared" ca="1" si="9"/>
        <v>#NAME?</v>
      </c>
      <c r="M79" s="166" t="e">
        <f t="shared" ca="1" si="9"/>
        <v>#NAME?</v>
      </c>
      <c r="N79" s="165" t="e">
        <f t="shared" ca="1" si="14"/>
        <v>#NAME?</v>
      </c>
      <c r="O79" s="166" t="e">
        <f t="shared" ca="1" si="15"/>
        <v>#NAME?</v>
      </c>
      <c r="P79" s="165" t="e">
        <f t="shared" ca="1" si="16"/>
        <v>#NAME?</v>
      </c>
      <c r="Q79" s="166" t="e">
        <f t="shared" ca="1" si="17"/>
        <v>#NAME?</v>
      </c>
      <c r="R79" s="175"/>
    </row>
    <row r="80" spans="2:18" s="176" customFormat="1" ht="13.5" hidden="1" outlineLevel="1" thickBot="1" x14ac:dyDescent="0.25">
      <c r="B80" s="167">
        <v>82</v>
      </c>
      <c r="C80" s="171" t="e">
        <f t="shared" ca="1" si="0"/>
        <v>#REF!</v>
      </c>
      <c r="D80" s="375" t="e">
        <f t="shared" ca="1" si="1"/>
        <v>#REF!</v>
      </c>
      <c r="E80" s="168" t="e">
        <f t="shared" ca="1" si="2"/>
        <v>#REF!</v>
      </c>
      <c r="F80" s="393" t="e">
        <f t="shared" ca="1" si="3"/>
        <v>#REF!</v>
      </c>
      <c r="G80" s="380" t="e">
        <f t="shared" ca="1" si="4"/>
        <v>#REF!</v>
      </c>
      <c r="H80" s="172" t="e">
        <f t="shared" ca="1" si="5"/>
        <v>#REF!</v>
      </c>
      <c r="I80" s="169" t="e">
        <f t="shared" ca="1" si="6"/>
        <v>#REF!</v>
      </c>
      <c r="J80" s="170" t="e">
        <f t="shared" ca="1" si="7"/>
        <v>#REF!</v>
      </c>
      <c r="K80" s="173">
        <f t="shared" ca="1" si="8"/>
        <v>0</v>
      </c>
      <c r="L80" s="174" t="e">
        <f t="shared" ca="1" si="9"/>
        <v>#NAME?</v>
      </c>
      <c r="M80" s="166" t="e">
        <f t="shared" ca="1" si="9"/>
        <v>#NAME?</v>
      </c>
      <c r="N80" s="165" t="e">
        <f t="shared" ca="1" si="14"/>
        <v>#NAME?</v>
      </c>
      <c r="O80" s="166" t="e">
        <f t="shared" ca="1" si="15"/>
        <v>#NAME?</v>
      </c>
      <c r="P80" s="165" t="e">
        <f t="shared" ca="1" si="16"/>
        <v>#NAME?</v>
      </c>
      <c r="Q80" s="166" t="e">
        <f t="shared" ca="1" si="17"/>
        <v>#NAME?</v>
      </c>
      <c r="R80" s="175"/>
    </row>
    <row r="81" spans="2:18" s="176" customFormat="1" ht="13.5" hidden="1" outlineLevel="1" thickBot="1" x14ac:dyDescent="0.25">
      <c r="B81" s="167">
        <v>83</v>
      </c>
      <c r="C81" s="171" t="e">
        <f t="shared" ca="1" si="0"/>
        <v>#REF!</v>
      </c>
      <c r="D81" s="375" t="e">
        <f t="shared" ca="1" si="1"/>
        <v>#REF!</v>
      </c>
      <c r="E81" s="168" t="e">
        <f t="shared" ca="1" si="2"/>
        <v>#REF!</v>
      </c>
      <c r="F81" s="393" t="e">
        <f t="shared" ca="1" si="3"/>
        <v>#REF!</v>
      </c>
      <c r="G81" s="380" t="e">
        <f t="shared" ca="1" si="4"/>
        <v>#REF!</v>
      </c>
      <c r="H81" s="172" t="e">
        <f t="shared" ca="1" si="5"/>
        <v>#REF!</v>
      </c>
      <c r="I81" s="169" t="e">
        <f t="shared" ca="1" si="6"/>
        <v>#REF!</v>
      </c>
      <c r="J81" s="170" t="e">
        <f t="shared" ca="1" si="7"/>
        <v>#REF!</v>
      </c>
      <c r="K81" s="173">
        <f t="shared" ca="1" si="8"/>
        <v>0</v>
      </c>
      <c r="L81" s="174" t="e">
        <f t="shared" ca="1" si="9"/>
        <v>#NAME?</v>
      </c>
      <c r="M81" s="166" t="e">
        <f t="shared" ca="1" si="9"/>
        <v>#NAME?</v>
      </c>
      <c r="N81" s="165" t="e">
        <f t="shared" ca="1" si="14"/>
        <v>#NAME?</v>
      </c>
      <c r="O81" s="166" t="e">
        <f t="shared" ca="1" si="15"/>
        <v>#NAME?</v>
      </c>
      <c r="P81" s="165" t="e">
        <f t="shared" ca="1" si="16"/>
        <v>#NAME?</v>
      </c>
      <c r="Q81" s="166" t="e">
        <f t="shared" ca="1" si="17"/>
        <v>#NAME?</v>
      </c>
      <c r="R81" s="175"/>
    </row>
    <row r="82" spans="2:18" s="176" customFormat="1" ht="13.5" hidden="1" outlineLevel="1" thickBot="1" x14ac:dyDescent="0.25">
      <c r="B82" s="167">
        <v>84</v>
      </c>
      <c r="C82" s="171" t="e">
        <f t="shared" ca="1" si="0"/>
        <v>#REF!</v>
      </c>
      <c r="D82" s="375" t="e">
        <f t="shared" ca="1" si="1"/>
        <v>#REF!</v>
      </c>
      <c r="E82" s="168" t="e">
        <f t="shared" ca="1" si="2"/>
        <v>#REF!</v>
      </c>
      <c r="F82" s="393" t="e">
        <f t="shared" ca="1" si="3"/>
        <v>#REF!</v>
      </c>
      <c r="G82" s="380" t="e">
        <f t="shared" ca="1" si="4"/>
        <v>#REF!</v>
      </c>
      <c r="H82" s="172" t="e">
        <f t="shared" ca="1" si="5"/>
        <v>#REF!</v>
      </c>
      <c r="I82" s="169" t="e">
        <f t="shared" ca="1" si="6"/>
        <v>#REF!</v>
      </c>
      <c r="J82" s="170" t="e">
        <f t="shared" ca="1" si="7"/>
        <v>#REF!</v>
      </c>
      <c r="K82" s="173">
        <f t="shared" ca="1" si="8"/>
        <v>0</v>
      </c>
      <c r="L82" s="174" t="e">
        <f t="shared" ca="1" si="9"/>
        <v>#NAME?</v>
      </c>
      <c r="M82" s="166" t="e">
        <f t="shared" ca="1" si="9"/>
        <v>#NAME?</v>
      </c>
      <c r="N82" s="165" t="e">
        <f t="shared" ca="1" si="14"/>
        <v>#NAME?</v>
      </c>
      <c r="O82" s="166" t="e">
        <f t="shared" ca="1" si="15"/>
        <v>#NAME?</v>
      </c>
      <c r="P82" s="165" t="e">
        <f t="shared" ca="1" si="16"/>
        <v>#NAME?</v>
      </c>
      <c r="Q82" s="166" t="e">
        <f t="shared" ca="1" si="17"/>
        <v>#NAME?</v>
      </c>
      <c r="R82" s="175"/>
    </row>
    <row r="83" spans="2:18" s="176" customFormat="1" ht="13.5" hidden="1" outlineLevel="1" thickBot="1" x14ac:dyDescent="0.25">
      <c r="B83" s="167">
        <v>85</v>
      </c>
      <c r="C83" s="171" t="e">
        <f t="shared" ca="1" si="0"/>
        <v>#REF!</v>
      </c>
      <c r="D83" s="375" t="e">
        <f t="shared" ca="1" si="1"/>
        <v>#REF!</v>
      </c>
      <c r="E83" s="168" t="e">
        <f t="shared" ca="1" si="2"/>
        <v>#REF!</v>
      </c>
      <c r="F83" s="393" t="e">
        <f t="shared" ca="1" si="3"/>
        <v>#REF!</v>
      </c>
      <c r="G83" s="380" t="e">
        <f t="shared" ca="1" si="4"/>
        <v>#REF!</v>
      </c>
      <c r="H83" s="172" t="e">
        <f t="shared" ca="1" si="5"/>
        <v>#REF!</v>
      </c>
      <c r="I83" s="169" t="e">
        <f t="shared" ca="1" si="6"/>
        <v>#REF!</v>
      </c>
      <c r="J83" s="170" t="e">
        <f t="shared" ca="1" si="7"/>
        <v>#REF!</v>
      </c>
      <c r="K83" s="173">
        <f t="shared" ca="1" si="8"/>
        <v>0</v>
      </c>
      <c r="L83" s="174" t="e">
        <f t="shared" ca="1" si="9"/>
        <v>#NAME?</v>
      </c>
      <c r="M83" s="166" t="e">
        <f t="shared" ca="1" si="9"/>
        <v>#NAME?</v>
      </c>
      <c r="N83" s="165" t="e">
        <f t="shared" ca="1" si="14"/>
        <v>#NAME?</v>
      </c>
      <c r="O83" s="166" t="e">
        <f t="shared" ca="1" si="15"/>
        <v>#NAME?</v>
      </c>
      <c r="P83" s="165" t="e">
        <f t="shared" ca="1" si="16"/>
        <v>#NAME?</v>
      </c>
      <c r="Q83" s="166" t="e">
        <f t="shared" ca="1" si="17"/>
        <v>#NAME?</v>
      </c>
      <c r="R83" s="175"/>
    </row>
    <row r="84" spans="2:18" s="176" customFormat="1" ht="13.5" hidden="1" outlineLevel="1" thickBot="1" x14ac:dyDescent="0.25">
      <c r="B84" s="167">
        <v>86</v>
      </c>
      <c r="C84" s="171" t="e">
        <f t="shared" ca="1" si="0"/>
        <v>#REF!</v>
      </c>
      <c r="D84" s="375" t="e">
        <f t="shared" ca="1" si="1"/>
        <v>#REF!</v>
      </c>
      <c r="E84" s="168" t="e">
        <f t="shared" ca="1" si="2"/>
        <v>#REF!</v>
      </c>
      <c r="F84" s="393" t="e">
        <f t="shared" ca="1" si="3"/>
        <v>#REF!</v>
      </c>
      <c r="G84" s="380" t="e">
        <f t="shared" ca="1" si="4"/>
        <v>#REF!</v>
      </c>
      <c r="H84" s="172" t="e">
        <f t="shared" ca="1" si="5"/>
        <v>#REF!</v>
      </c>
      <c r="I84" s="169" t="e">
        <f t="shared" ca="1" si="6"/>
        <v>#REF!</v>
      </c>
      <c r="J84" s="170" t="e">
        <f t="shared" ca="1" si="7"/>
        <v>#REF!</v>
      </c>
      <c r="K84" s="173">
        <f t="shared" ca="1" si="8"/>
        <v>0</v>
      </c>
      <c r="L84" s="174" t="e">
        <f t="shared" ca="1" si="9"/>
        <v>#NAME?</v>
      </c>
      <c r="M84" s="166" t="e">
        <f t="shared" ca="1" si="9"/>
        <v>#NAME?</v>
      </c>
      <c r="N84" s="165" t="e">
        <f t="shared" ca="1" si="14"/>
        <v>#NAME?</v>
      </c>
      <c r="O84" s="166" t="e">
        <f t="shared" ca="1" si="15"/>
        <v>#NAME?</v>
      </c>
      <c r="P84" s="165" t="e">
        <f t="shared" ca="1" si="16"/>
        <v>#NAME?</v>
      </c>
      <c r="Q84" s="166" t="e">
        <f t="shared" ca="1" si="17"/>
        <v>#NAME?</v>
      </c>
      <c r="R84" s="175"/>
    </row>
    <row r="85" spans="2:18" s="176" customFormat="1" ht="13.5" hidden="1" outlineLevel="1" thickBot="1" x14ac:dyDescent="0.25">
      <c r="B85" s="167">
        <v>87</v>
      </c>
      <c r="C85" s="171" t="e">
        <f t="shared" ca="1" si="0"/>
        <v>#REF!</v>
      </c>
      <c r="D85" s="375" t="e">
        <f t="shared" ca="1" si="1"/>
        <v>#REF!</v>
      </c>
      <c r="E85" s="168" t="e">
        <f t="shared" ca="1" si="2"/>
        <v>#REF!</v>
      </c>
      <c r="F85" s="393" t="e">
        <f t="shared" ca="1" si="3"/>
        <v>#REF!</v>
      </c>
      <c r="G85" s="380" t="e">
        <f t="shared" ca="1" si="4"/>
        <v>#REF!</v>
      </c>
      <c r="H85" s="172" t="e">
        <f t="shared" ca="1" si="5"/>
        <v>#REF!</v>
      </c>
      <c r="I85" s="169" t="e">
        <f t="shared" ca="1" si="6"/>
        <v>#REF!</v>
      </c>
      <c r="J85" s="170" t="e">
        <f t="shared" ca="1" si="7"/>
        <v>#REF!</v>
      </c>
      <c r="K85" s="173">
        <f t="shared" ca="1" si="8"/>
        <v>0</v>
      </c>
      <c r="L85" s="174" t="e">
        <f t="shared" ca="1" si="9"/>
        <v>#NAME?</v>
      </c>
      <c r="M85" s="166" t="e">
        <f t="shared" ca="1" si="9"/>
        <v>#NAME?</v>
      </c>
      <c r="N85" s="165" t="e">
        <f t="shared" ca="1" si="14"/>
        <v>#NAME?</v>
      </c>
      <c r="O85" s="166" t="e">
        <f t="shared" ca="1" si="15"/>
        <v>#NAME?</v>
      </c>
      <c r="P85" s="165" t="e">
        <f t="shared" ca="1" si="16"/>
        <v>#NAME?</v>
      </c>
      <c r="Q85" s="166" t="e">
        <f t="shared" ca="1" si="17"/>
        <v>#NAME?</v>
      </c>
      <c r="R85" s="175"/>
    </row>
    <row r="86" spans="2:18" s="176" customFormat="1" ht="13.5" hidden="1" outlineLevel="1" thickBot="1" x14ac:dyDescent="0.25">
      <c r="B86" s="167">
        <v>88</v>
      </c>
      <c r="C86" s="171" t="e">
        <f t="shared" ca="1" si="0"/>
        <v>#REF!</v>
      </c>
      <c r="D86" s="375" t="e">
        <f t="shared" ca="1" si="1"/>
        <v>#REF!</v>
      </c>
      <c r="E86" s="168" t="e">
        <f t="shared" ca="1" si="2"/>
        <v>#REF!</v>
      </c>
      <c r="F86" s="393" t="e">
        <f t="shared" ca="1" si="3"/>
        <v>#REF!</v>
      </c>
      <c r="G86" s="380" t="e">
        <f t="shared" ca="1" si="4"/>
        <v>#REF!</v>
      </c>
      <c r="H86" s="172" t="e">
        <f t="shared" ca="1" si="5"/>
        <v>#REF!</v>
      </c>
      <c r="I86" s="169" t="e">
        <f t="shared" ca="1" si="6"/>
        <v>#REF!</v>
      </c>
      <c r="J86" s="170" t="e">
        <f t="shared" ca="1" si="7"/>
        <v>#REF!</v>
      </c>
      <c r="K86" s="173">
        <f t="shared" ca="1" si="8"/>
        <v>0</v>
      </c>
      <c r="L86" s="174" t="e">
        <f t="shared" ca="1" si="9"/>
        <v>#NAME?</v>
      </c>
      <c r="M86" s="166" t="e">
        <f t="shared" ca="1" si="9"/>
        <v>#NAME?</v>
      </c>
      <c r="N86" s="165" t="e">
        <f t="shared" ca="1" si="14"/>
        <v>#NAME?</v>
      </c>
      <c r="O86" s="166" t="e">
        <f t="shared" ca="1" si="15"/>
        <v>#NAME?</v>
      </c>
      <c r="P86" s="165" t="e">
        <f t="shared" ca="1" si="16"/>
        <v>#NAME?</v>
      </c>
      <c r="Q86" s="166" t="e">
        <f t="shared" ca="1" si="17"/>
        <v>#NAME?</v>
      </c>
      <c r="R86" s="175"/>
    </row>
    <row r="87" spans="2:18" s="176" customFormat="1" ht="13.5" hidden="1" outlineLevel="1" thickBot="1" x14ac:dyDescent="0.25">
      <c r="B87" s="167">
        <v>89</v>
      </c>
      <c r="C87" s="171" t="e">
        <f t="shared" ca="1" si="0"/>
        <v>#REF!</v>
      </c>
      <c r="D87" s="375" t="e">
        <f t="shared" ca="1" si="1"/>
        <v>#REF!</v>
      </c>
      <c r="E87" s="168" t="e">
        <f t="shared" ca="1" si="2"/>
        <v>#REF!</v>
      </c>
      <c r="F87" s="393" t="e">
        <f t="shared" ca="1" si="3"/>
        <v>#REF!</v>
      </c>
      <c r="G87" s="380" t="e">
        <f t="shared" ca="1" si="4"/>
        <v>#REF!</v>
      </c>
      <c r="H87" s="172" t="e">
        <f t="shared" ca="1" si="5"/>
        <v>#REF!</v>
      </c>
      <c r="I87" s="169" t="e">
        <f t="shared" ca="1" si="6"/>
        <v>#REF!</v>
      </c>
      <c r="J87" s="170" t="e">
        <f t="shared" ca="1" si="7"/>
        <v>#REF!</v>
      </c>
      <c r="K87" s="173">
        <f t="shared" ca="1" si="8"/>
        <v>0</v>
      </c>
      <c r="L87" s="174" t="e">
        <f t="shared" ca="1" si="9"/>
        <v>#NAME?</v>
      </c>
      <c r="M87" s="166" t="e">
        <f t="shared" ca="1" si="9"/>
        <v>#NAME?</v>
      </c>
      <c r="N87" s="165" t="e">
        <f t="shared" ca="1" si="14"/>
        <v>#NAME?</v>
      </c>
      <c r="O87" s="166" t="e">
        <f t="shared" ca="1" si="15"/>
        <v>#NAME?</v>
      </c>
      <c r="P87" s="165" t="e">
        <f t="shared" ca="1" si="16"/>
        <v>#NAME?</v>
      </c>
      <c r="Q87" s="166" t="e">
        <f t="shared" ca="1" si="17"/>
        <v>#NAME?</v>
      </c>
      <c r="R87" s="175"/>
    </row>
    <row r="88" spans="2:18" s="176" customFormat="1" ht="13.5" hidden="1" outlineLevel="1" thickBot="1" x14ac:dyDescent="0.25">
      <c r="B88" s="167">
        <v>90</v>
      </c>
      <c r="C88" s="171" t="e">
        <f t="shared" ca="1" si="0"/>
        <v>#REF!</v>
      </c>
      <c r="D88" s="375" t="e">
        <f t="shared" ca="1" si="1"/>
        <v>#REF!</v>
      </c>
      <c r="E88" s="168" t="e">
        <f t="shared" ca="1" si="2"/>
        <v>#REF!</v>
      </c>
      <c r="F88" s="393" t="e">
        <f t="shared" ca="1" si="3"/>
        <v>#REF!</v>
      </c>
      <c r="G88" s="380" t="e">
        <f t="shared" ca="1" si="4"/>
        <v>#REF!</v>
      </c>
      <c r="H88" s="172" t="e">
        <f t="shared" ca="1" si="5"/>
        <v>#REF!</v>
      </c>
      <c r="I88" s="169" t="e">
        <f t="shared" ca="1" si="6"/>
        <v>#REF!</v>
      </c>
      <c r="J88" s="170" t="e">
        <f t="shared" ca="1" si="7"/>
        <v>#REF!</v>
      </c>
      <c r="K88" s="173">
        <f t="shared" ca="1" si="8"/>
        <v>0</v>
      </c>
      <c r="L88" s="174" t="e">
        <f t="shared" ca="1" si="9"/>
        <v>#NAME?</v>
      </c>
      <c r="M88" s="166" t="e">
        <f t="shared" ca="1" si="9"/>
        <v>#NAME?</v>
      </c>
      <c r="N88" s="165" t="e">
        <f t="shared" ca="1" si="14"/>
        <v>#NAME?</v>
      </c>
      <c r="O88" s="166" t="e">
        <f t="shared" ca="1" si="15"/>
        <v>#NAME?</v>
      </c>
      <c r="P88" s="165" t="e">
        <f t="shared" ca="1" si="16"/>
        <v>#NAME?</v>
      </c>
      <c r="Q88" s="166" t="e">
        <f t="shared" ca="1" si="17"/>
        <v>#NAME?</v>
      </c>
      <c r="R88" s="175"/>
    </row>
    <row r="89" spans="2:18" s="176" customFormat="1" ht="13.5" hidden="1" outlineLevel="1" thickBot="1" x14ac:dyDescent="0.25">
      <c r="B89" s="167">
        <v>91</v>
      </c>
      <c r="C89" s="171" t="e">
        <f t="shared" ca="1" si="0"/>
        <v>#REF!</v>
      </c>
      <c r="D89" s="375" t="e">
        <f t="shared" ca="1" si="1"/>
        <v>#REF!</v>
      </c>
      <c r="E89" s="168" t="e">
        <f t="shared" ca="1" si="2"/>
        <v>#REF!</v>
      </c>
      <c r="F89" s="393" t="e">
        <f t="shared" ca="1" si="3"/>
        <v>#REF!</v>
      </c>
      <c r="G89" s="380" t="e">
        <f t="shared" ca="1" si="4"/>
        <v>#REF!</v>
      </c>
      <c r="H89" s="172" t="e">
        <f t="shared" ca="1" si="5"/>
        <v>#REF!</v>
      </c>
      <c r="I89" s="169" t="e">
        <f t="shared" ca="1" si="6"/>
        <v>#REF!</v>
      </c>
      <c r="J89" s="170" t="e">
        <f t="shared" ca="1" si="7"/>
        <v>#REF!</v>
      </c>
      <c r="K89" s="173">
        <f t="shared" ca="1" si="8"/>
        <v>0</v>
      </c>
      <c r="L89" s="174" t="e">
        <f t="shared" ca="1" si="9"/>
        <v>#NAME?</v>
      </c>
      <c r="M89" s="166" t="e">
        <f t="shared" ca="1" si="9"/>
        <v>#NAME?</v>
      </c>
      <c r="N89" s="165" t="e">
        <f t="shared" ca="1" si="14"/>
        <v>#NAME?</v>
      </c>
      <c r="O89" s="166" t="e">
        <f t="shared" ca="1" si="15"/>
        <v>#NAME?</v>
      </c>
      <c r="P89" s="165" t="e">
        <f t="shared" ca="1" si="16"/>
        <v>#NAME?</v>
      </c>
      <c r="Q89" s="166" t="e">
        <f t="shared" ca="1" si="17"/>
        <v>#NAME?</v>
      </c>
      <c r="R89" s="175"/>
    </row>
    <row r="90" spans="2:18" s="176" customFormat="1" ht="13.5" hidden="1" outlineLevel="1" thickBot="1" x14ac:dyDescent="0.25">
      <c r="B90" s="167">
        <v>92</v>
      </c>
      <c r="C90" s="171" t="e">
        <f t="shared" ca="1" si="0"/>
        <v>#REF!</v>
      </c>
      <c r="D90" s="375" t="e">
        <f t="shared" ca="1" si="1"/>
        <v>#REF!</v>
      </c>
      <c r="E90" s="168" t="e">
        <f t="shared" ca="1" si="2"/>
        <v>#REF!</v>
      </c>
      <c r="F90" s="393" t="e">
        <f t="shared" ca="1" si="3"/>
        <v>#REF!</v>
      </c>
      <c r="G90" s="380" t="e">
        <f t="shared" ca="1" si="4"/>
        <v>#REF!</v>
      </c>
      <c r="H90" s="172" t="e">
        <f t="shared" ca="1" si="5"/>
        <v>#REF!</v>
      </c>
      <c r="I90" s="169" t="e">
        <f t="shared" ca="1" si="6"/>
        <v>#REF!</v>
      </c>
      <c r="J90" s="170" t="e">
        <f t="shared" ca="1" si="7"/>
        <v>#REF!</v>
      </c>
      <c r="K90" s="173">
        <f t="shared" ca="1" si="8"/>
        <v>0</v>
      </c>
      <c r="L90" s="174" t="e">
        <f t="shared" ca="1" si="9"/>
        <v>#NAME?</v>
      </c>
      <c r="M90" s="166" t="e">
        <f t="shared" ca="1" si="9"/>
        <v>#NAME?</v>
      </c>
      <c r="N90" s="165" t="e">
        <f t="shared" ca="1" si="14"/>
        <v>#NAME?</v>
      </c>
      <c r="O90" s="166" t="e">
        <f t="shared" ca="1" si="15"/>
        <v>#NAME?</v>
      </c>
      <c r="P90" s="165" t="e">
        <f t="shared" ca="1" si="16"/>
        <v>#NAME?</v>
      </c>
      <c r="Q90" s="166" t="e">
        <f t="shared" ca="1" si="17"/>
        <v>#NAME?</v>
      </c>
      <c r="R90" s="175"/>
    </row>
    <row r="91" spans="2:18" s="176" customFormat="1" ht="13.5" hidden="1" outlineLevel="1" thickBot="1" x14ac:dyDescent="0.25">
      <c r="B91" s="167">
        <v>93</v>
      </c>
      <c r="C91" s="171" t="e">
        <f t="shared" ca="1" si="0"/>
        <v>#REF!</v>
      </c>
      <c r="D91" s="375" t="e">
        <f t="shared" ca="1" si="1"/>
        <v>#REF!</v>
      </c>
      <c r="E91" s="168" t="e">
        <f t="shared" ca="1" si="2"/>
        <v>#REF!</v>
      </c>
      <c r="F91" s="393" t="e">
        <f t="shared" ca="1" si="3"/>
        <v>#REF!</v>
      </c>
      <c r="G91" s="380" t="e">
        <f t="shared" ca="1" si="4"/>
        <v>#REF!</v>
      </c>
      <c r="H91" s="172" t="e">
        <f t="shared" ca="1" si="5"/>
        <v>#REF!</v>
      </c>
      <c r="I91" s="169" t="e">
        <f t="shared" ca="1" si="6"/>
        <v>#REF!</v>
      </c>
      <c r="J91" s="170" t="e">
        <f t="shared" ca="1" si="7"/>
        <v>#REF!</v>
      </c>
      <c r="K91" s="173">
        <f t="shared" ca="1" si="8"/>
        <v>0</v>
      </c>
      <c r="L91" s="174" t="e">
        <f t="shared" ca="1" si="9"/>
        <v>#NAME?</v>
      </c>
      <c r="M91" s="166" t="e">
        <f t="shared" ca="1" si="9"/>
        <v>#NAME?</v>
      </c>
      <c r="N91" s="165" t="e">
        <f t="shared" ca="1" si="14"/>
        <v>#NAME?</v>
      </c>
      <c r="O91" s="166" t="e">
        <f t="shared" ca="1" si="15"/>
        <v>#NAME?</v>
      </c>
      <c r="P91" s="165" t="e">
        <f t="shared" ca="1" si="16"/>
        <v>#NAME?</v>
      </c>
      <c r="Q91" s="166" t="e">
        <f t="shared" ca="1" si="17"/>
        <v>#NAME?</v>
      </c>
      <c r="R91" s="175"/>
    </row>
    <row r="92" spans="2:18" s="176" customFormat="1" ht="13.5" hidden="1" outlineLevel="1" thickBot="1" x14ac:dyDescent="0.25">
      <c r="B92" s="167">
        <v>94</v>
      </c>
      <c r="C92" s="171" t="e">
        <f t="shared" ref="C92:C98" ca="1" si="18">INDIRECT("'"&amp;$P$6&amp;"'!B"&amp;(B92))</f>
        <v>#REF!</v>
      </c>
      <c r="D92" s="375" t="e">
        <f t="shared" ref="D92:D98" ca="1" si="19">INDIRECT("'"&amp;$P$6&amp;"'!C"&amp;($B92))</f>
        <v>#REF!</v>
      </c>
      <c r="E92" s="168" t="e">
        <f t="shared" ref="E92:E98" ca="1" si="20">INDIRECT("'"&amp;$P$6&amp;"'!D"&amp;($B92))</f>
        <v>#REF!</v>
      </c>
      <c r="F92" s="393" t="e">
        <f t="shared" ref="F92:F98" ca="1" si="21">INDIRECT("'"&amp;$P$6&amp;"'!E"&amp;($B92))</f>
        <v>#REF!</v>
      </c>
      <c r="G92" s="380" t="e">
        <f t="shared" ref="G92:G98" ca="1" si="22">INDIRECT("'"&amp;$P$6&amp;"'!F"&amp;($B92))</f>
        <v>#REF!</v>
      </c>
      <c r="H92" s="172" t="e">
        <f t="shared" ref="H92:H98" ca="1" si="23">INDIRECT("'"&amp;$P$6&amp;"'!G"&amp;($B92))</f>
        <v>#REF!</v>
      </c>
      <c r="I92" s="169" t="e">
        <f t="shared" ref="I92:I98" ca="1" si="24">INDIRECT("'"&amp;$P$6&amp;"'!H"&amp;($B92))</f>
        <v>#REF!</v>
      </c>
      <c r="J92" s="170" t="e">
        <f t="shared" ref="J92:J98" ca="1" si="25">INDIRECT("'"&amp;$P$6&amp;"'!I"&amp;($B92))</f>
        <v>#REF!</v>
      </c>
      <c r="K92" s="173">
        <f t="shared" ref="K92:K98" ca="1" si="26">IFERROR(M92/J92,0)</f>
        <v>0</v>
      </c>
      <c r="L92" s="174" t="e">
        <f t="shared" ref="L92:M98" ca="1" si="27">N92+P92</f>
        <v>#NAME?</v>
      </c>
      <c r="M92" s="166" t="e">
        <f t="shared" ca="1" si="27"/>
        <v>#NAME?</v>
      </c>
      <c r="N92" s="165" t="e">
        <f t="shared" ca="1" si="14"/>
        <v>#NAME?</v>
      </c>
      <c r="O92" s="166" t="e">
        <f t="shared" ca="1" si="15"/>
        <v>#NAME?</v>
      </c>
      <c r="P92" s="165" t="e">
        <f t="shared" ca="1" si="16"/>
        <v>#NAME?</v>
      </c>
      <c r="Q92" s="166" t="e">
        <f t="shared" ca="1" si="17"/>
        <v>#NAME?</v>
      </c>
      <c r="R92" s="175"/>
    </row>
    <row r="93" spans="2:18" s="176" customFormat="1" ht="13.5" hidden="1" outlineLevel="1" thickBot="1" x14ac:dyDescent="0.25">
      <c r="B93" s="167">
        <v>95</v>
      </c>
      <c r="C93" s="171" t="e">
        <f t="shared" ca="1" si="18"/>
        <v>#REF!</v>
      </c>
      <c r="D93" s="375" t="e">
        <f t="shared" ca="1" si="19"/>
        <v>#REF!</v>
      </c>
      <c r="E93" s="168" t="e">
        <f t="shared" ca="1" si="20"/>
        <v>#REF!</v>
      </c>
      <c r="F93" s="393" t="e">
        <f t="shared" ca="1" si="21"/>
        <v>#REF!</v>
      </c>
      <c r="G93" s="380" t="e">
        <f t="shared" ca="1" si="22"/>
        <v>#REF!</v>
      </c>
      <c r="H93" s="172" t="e">
        <f t="shared" ca="1" si="23"/>
        <v>#REF!</v>
      </c>
      <c r="I93" s="169" t="e">
        <f t="shared" ca="1" si="24"/>
        <v>#REF!</v>
      </c>
      <c r="J93" s="170" t="e">
        <f t="shared" ca="1" si="25"/>
        <v>#REF!</v>
      </c>
      <c r="K93" s="173">
        <f t="shared" ca="1" si="26"/>
        <v>0</v>
      </c>
      <c r="L93" s="174" t="e">
        <f t="shared" ca="1" si="27"/>
        <v>#NAME?</v>
      </c>
      <c r="M93" s="166" t="e">
        <f t="shared" ca="1" si="27"/>
        <v>#NAME?</v>
      </c>
      <c r="N93" s="165" t="e">
        <f t="shared" ca="1" si="14"/>
        <v>#NAME?</v>
      </c>
      <c r="O93" s="166" t="e">
        <f t="shared" ca="1" si="15"/>
        <v>#NAME?</v>
      </c>
      <c r="P93" s="165" t="e">
        <f t="shared" ca="1" si="16"/>
        <v>#NAME?</v>
      </c>
      <c r="Q93" s="166" t="e">
        <f t="shared" ca="1" si="17"/>
        <v>#NAME?</v>
      </c>
      <c r="R93" s="175"/>
    </row>
    <row r="94" spans="2:18" s="176" customFormat="1" ht="13.5" hidden="1" outlineLevel="1" thickBot="1" x14ac:dyDescent="0.25">
      <c r="B94" s="167">
        <v>96</v>
      </c>
      <c r="C94" s="171" t="e">
        <f t="shared" ca="1" si="18"/>
        <v>#REF!</v>
      </c>
      <c r="D94" s="375" t="e">
        <f t="shared" ca="1" si="19"/>
        <v>#REF!</v>
      </c>
      <c r="E94" s="168" t="e">
        <f t="shared" ca="1" si="20"/>
        <v>#REF!</v>
      </c>
      <c r="F94" s="393" t="e">
        <f t="shared" ca="1" si="21"/>
        <v>#REF!</v>
      </c>
      <c r="G94" s="380" t="e">
        <f t="shared" ca="1" si="22"/>
        <v>#REF!</v>
      </c>
      <c r="H94" s="172" t="e">
        <f t="shared" ca="1" si="23"/>
        <v>#REF!</v>
      </c>
      <c r="I94" s="169" t="e">
        <f t="shared" ca="1" si="24"/>
        <v>#REF!</v>
      </c>
      <c r="J94" s="170" t="e">
        <f t="shared" ca="1" si="25"/>
        <v>#REF!</v>
      </c>
      <c r="K94" s="173">
        <f t="shared" ca="1" si="26"/>
        <v>0</v>
      </c>
      <c r="L94" s="174" t="e">
        <f t="shared" ca="1" si="27"/>
        <v>#NAME?</v>
      </c>
      <c r="M94" s="166" t="e">
        <f t="shared" ca="1" si="27"/>
        <v>#NAME?</v>
      </c>
      <c r="N94" s="165" t="e">
        <f t="shared" ca="1" si="14"/>
        <v>#NAME?</v>
      </c>
      <c r="O94" s="166" t="e">
        <f t="shared" ca="1" si="15"/>
        <v>#NAME?</v>
      </c>
      <c r="P94" s="165" t="e">
        <f t="shared" ca="1" si="16"/>
        <v>#NAME?</v>
      </c>
      <c r="Q94" s="166" t="e">
        <f t="shared" ca="1" si="17"/>
        <v>#NAME?</v>
      </c>
      <c r="R94" s="175"/>
    </row>
    <row r="95" spans="2:18" s="176" customFormat="1" ht="13.5" hidden="1" outlineLevel="1" thickBot="1" x14ac:dyDescent="0.25">
      <c r="B95" s="167">
        <v>97</v>
      </c>
      <c r="C95" s="171" t="e">
        <f t="shared" ca="1" si="18"/>
        <v>#REF!</v>
      </c>
      <c r="D95" s="375" t="e">
        <f t="shared" ca="1" si="19"/>
        <v>#REF!</v>
      </c>
      <c r="E95" s="168" t="e">
        <f t="shared" ca="1" si="20"/>
        <v>#REF!</v>
      </c>
      <c r="F95" s="393" t="e">
        <f t="shared" ca="1" si="21"/>
        <v>#REF!</v>
      </c>
      <c r="G95" s="380" t="e">
        <f t="shared" ca="1" si="22"/>
        <v>#REF!</v>
      </c>
      <c r="H95" s="172" t="e">
        <f t="shared" ca="1" si="23"/>
        <v>#REF!</v>
      </c>
      <c r="I95" s="169" t="e">
        <f t="shared" ca="1" si="24"/>
        <v>#REF!</v>
      </c>
      <c r="J95" s="170" t="e">
        <f t="shared" ca="1" si="25"/>
        <v>#REF!</v>
      </c>
      <c r="K95" s="173">
        <f t="shared" ca="1" si="26"/>
        <v>0</v>
      </c>
      <c r="L95" s="174" t="e">
        <f t="shared" ca="1" si="27"/>
        <v>#NAME?</v>
      </c>
      <c r="M95" s="166" t="e">
        <f t="shared" ca="1" si="27"/>
        <v>#NAME?</v>
      </c>
      <c r="N95" s="165" t="e">
        <f t="shared" ca="1" si="14"/>
        <v>#NAME?</v>
      </c>
      <c r="O95" s="166" t="e">
        <f t="shared" ca="1" si="15"/>
        <v>#NAME?</v>
      </c>
      <c r="P95" s="165" t="e">
        <f t="shared" ca="1" si="16"/>
        <v>#NAME?</v>
      </c>
      <c r="Q95" s="166" t="e">
        <f t="shared" ca="1" si="17"/>
        <v>#NAME?</v>
      </c>
      <c r="R95" s="175"/>
    </row>
    <row r="96" spans="2:18" s="176" customFormat="1" ht="13.5" hidden="1" outlineLevel="1" thickBot="1" x14ac:dyDescent="0.25">
      <c r="B96" s="167">
        <v>98</v>
      </c>
      <c r="C96" s="171" t="e">
        <f t="shared" ca="1" si="18"/>
        <v>#REF!</v>
      </c>
      <c r="D96" s="375" t="e">
        <f t="shared" ca="1" si="19"/>
        <v>#REF!</v>
      </c>
      <c r="E96" s="168" t="e">
        <f t="shared" ca="1" si="20"/>
        <v>#REF!</v>
      </c>
      <c r="F96" s="393" t="e">
        <f t="shared" ca="1" si="21"/>
        <v>#REF!</v>
      </c>
      <c r="G96" s="380" t="e">
        <f t="shared" ca="1" si="22"/>
        <v>#REF!</v>
      </c>
      <c r="H96" s="172" t="e">
        <f t="shared" ca="1" si="23"/>
        <v>#REF!</v>
      </c>
      <c r="I96" s="169" t="e">
        <f t="shared" ca="1" si="24"/>
        <v>#REF!</v>
      </c>
      <c r="J96" s="170" t="e">
        <f t="shared" ca="1" si="25"/>
        <v>#REF!</v>
      </c>
      <c r="K96" s="173">
        <f t="shared" ca="1" si="26"/>
        <v>0</v>
      </c>
      <c r="L96" s="174" t="e">
        <f t="shared" ca="1" si="27"/>
        <v>#NAME?</v>
      </c>
      <c r="M96" s="166" t="e">
        <f t="shared" ca="1" si="27"/>
        <v>#NAME?</v>
      </c>
      <c r="N96" s="165" t="e">
        <f t="shared" ca="1" si="14"/>
        <v>#NAME?</v>
      </c>
      <c r="O96" s="166" t="e">
        <f t="shared" ca="1" si="15"/>
        <v>#NAME?</v>
      </c>
      <c r="P96" s="165" t="e">
        <f t="shared" ca="1" si="16"/>
        <v>#NAME?</v>
      </c>
      <c r="Q96" s="166" t="e">
        <f t="shared" ca="1" si="17"/>
        <v>#NAME?</v>
      </c>
      <c r="R96" s="175"/>
    </row>
    <row r="97" spans="2:18" s="176" customFormat="1" ht="13.5" hidden="1" outlineLevel="1" thickBot="1" x14ac:dyDescent="0.25">
      <c r="B97" s="167">
        <v>99</v>
      </c>
      <c r="C97" s="177" t="e">
        <f t="shared" ca="1" si="18"/>
        <v>#REF!</v>
      </c>
      <c r="D97" s="375" t="e">
        <f t="shared" ca="1" si="19"/>
        <v>#REF!</v>
      </c>
      <c r="E97" s="168" t="e">
        <f t="shared" ca="1" si="20"/>
        <v>#REF!</v>
      </c>
      <c r="F97" s="394" t="e">
        <f t="shared" ca="1" si="21"/>
        <v>#REF!</v>
      </c>
      <c r="G97" s="381" t="e">
        <f t="shared" ca="1" si="22"/>
        <v>#REF!</v>
      </c>
      <c r="H97" s="178" t="e">
        <f t="shared" ca="1" si="23"/>
        <v>#REF!</v>
      </c>
      <c r="I97" s="177" t="e">
        <f t="shared" ca="1" si="24"/>
        <v>#REF!</v>
      </c>
      <c r="J97" s="179" t="e">
        <f t="shared" ca="1" si="25"/>
        <v>#REF!</v>
      </c>
      <c r="K97" s="173">
        <f t="shared" ca="1" si="26"/>
        <v>0</v>
      </c>
      <c r="L97" s="174" t="e">
        <f t="shared" ca="1" si="27"/>
        <v>#NAME?</v>
      </c>
      <c r="M97" s="166" t="e">
        <f t="shared" ca="1" si="27"/>
        <v>#NAME?</v>
      </c>
      <c r="N97" s="165" t="e">
        <f t="shared" ca="1" si="14"/>
        <v>#NAME?</v>
      </c>
      <c r="O97" s="166" t="e">
        <f t="shared" ca="1" si="15"/>
        <v>#NAME?</v>
      </c>
      <c r="P97" s="165" t="e">
        <f t="shared" ca="1" si="16"/>
        <v>#NAME?</v>
      </c>
      <c r="Q97" s="166" t="e">
        <f t="shared" ca="1" si="17"/>
        <v>#NAME?</v>
      </c>
      <c r="R97" s="175"/>
    </row>
    <row r="98" spans="2:18" s="176" customFormat="1" ht="13.5" hidden="1" outlineLevel="1" thickBot="1" x14ac:dyDescent="0.25">
      <c r="B98" s="167">
        <v>100</v>
      </c>
      <c r="C98" s="177" t="e">
        <f t="shared" ca="1" si="18"/>
        <v>#REF!</v>
      </c>
      <c r="D98" s="375" t="e">
        <f t="shared" ca="1" si="19"/>
        <v>#REF!</v>
      </c>
      <c r="E98" s="168" t="e">
        <f t="shared" ca="1" si="20"/>
        <v>#REF!</v>
      </c>
      <c r="F98" s="179" t="e">
        <f t="shared" ca="1" si="21"/>
        <v>#REF!</v>
      </c>
      <c r="G98" s="381" t="e">
        <f t="shared" ca="1" si="22"/>
        <v>#REF!</v>
      </c>
      <c r="H98" s="181" t="e">
        <f t="shared" ca="1" si="23"/>
        <v>#REF!</v>
      </c>
      <c r="I98" s="180" t="e">
        <f t="shared" ca="1" si="24"/>
        <v>#REF!</v>
      </c>
      <c r="J98" s="179" t="e">
        <f t="shared" ca="1" si="25"/>
        <v>#REF!</v>
      </c>
      <c r="K98" s="173">
        <f t="shared" ca="1" si="26"/>
        <v>0</v>
      </c>
      <c r="L98" s="174" t="e">
        <f t="shared" ca="1" si="27"/>
        <v>#NAME?</v>
      </c>
      <c r="M98" s="166" t="e">
        <f t="shared" ca="1" si="27"/>
        <v>#NAME?</v>
      </c>
      <c r="N98" s="165" t="e">
        <f t="shared" ca="1" si="14"/>
        <v>#NAME?</v>
      </c>
      <c r="O98" s="166" t="e">
        <f t="shared" ca="1" si="15"/>
        <v>#NAME?</v>
      </c>
      <c r="P98" s="165" t="e">
        <f t="shared" ca="1" si="16"/>
        <v>#NAME?</v>
      </c>
      <c r="Q98" s="166" t="e">
        <f t="shared" ca="1" si="17"/>
        <v>#NAME?</v>
      </c>
      <c r="R98" s="175"/>
    </row>
    <row r="99" spans="2:18" s="176" customFormat="1" ht="13.5" hidden="1" collapsed="1" thickBot="1" x14ac:dyDescent="0.25">
      <c r="B99" s="182"/>
      <c r="C99" s="158"/>
      <c r="D99" s="373"/>
      <c r="E99" s="390"/>
      <c r="F99" s="391"/>
      <c r="G99" s="378"/>
      <c r="H99" s="159"/>
      <c r="I99" s="159"/>
      <c r="J99" s="160"/>
      <c r="K99" s="161"/>
      <c r="L99" s="162"/>
      <c r="M99" s="163"/>
      <c r="N99" s="164"/>
      <c r="O99" s="163"/>
      <c r="P99" s="183"/>
      <c r="Q99" s="184"/>
      <c r="R99" s="175"/>
    </row>
    <row r="100" spans="2:18" ht="22.5" customHeight="1" thickBot="1" x14ac:dyDescent="0.25">
      <c r="B100" s="167"/>
      <c r="C100" s="185"/>
      <c r="D100" s="186"/>
      <c r="E100" s="395"/>
      <c r="F100" s="187" t="s">
        <v>104</v>
      </c>
      <c r="G100" s="188"/>
      <c r="H100" s="189"/>
      <c r="I100" s="190"/>
      <c r="J100" s="191">
        <f>SUM(J14:J29)</f>
        <v>0</v>
      </c>
      <c r="K100" s="192"/>
      <c r="L100" s="193"/>
      <c r="M100" s="191">
        <f>SUM(M14:M29)</f>
        <v>0</v>
      </c>
      <c r="N100" s="193"/>
      <c r="O100" s="191">
        <f>SUM(O14:O29)</f>
        <v>0</v>
      </c>
      <c r="P100" s="194"/>
      <c r="Q100" s="191">
        <f>SUM(Q14:Q29)</f>
        <v>0</v>
      </c>
      <c r="R100" s="129"/>
    </row>
    <row r="101" spans="2:18" ht="16.5" customHeight="1" x14ac:dyDescent="0.25">
      <c r="B101" s="167"/>
      <c r="C101" s="195"/>
      <c r="D101" s="196"/>
      <c r="E101" s="396"/>
      <c r="F101" s="197"/>
      <c r="G101" s="382"/>
      <c r="H101" s="198"/>
      <c r="I101" s="199"/>
      <c r="J101" s="200"/>
      <c r="K101" s="201"/>
      <c r="L101" s="202"/>
      <c r="M101" s="203"/>
      <c r="N101" s="204"/>
      <c r="O101" s="203"/>
      <c r="P101" s="204"/>
      <c r="Q101" s="203"/>
      <c r="R101" s="129"/>
    </row>
    <row r="102" spans="2:18" ht="16.5" customHeight="1" x14ac:dyDescent="0.25">
      <c r="B102" s="167"/>
      <c r="C102" s="205"/>
      <c r="D102" s="206"/>
      <c r="E102" s="397"/>
      <c r="F102" s="197"/>
      <c r="G102" s="383"/>
      <c r="H102" s="207"/>
      <c r="I102" s="208"/>
      <c r="J102" s="209"/>
      <c r="K102" s="210"/>
      <c r="L102" s="211"/>
      <c r="M102" s="212"/>
      <c r="N102" s="211"/>
      <c r="O102" s="212"/>
      <c r="P102" s="211"/>
      <c r="Q102" s="212"/>
      <c r="R102" s="129"/>
    </row>
    <row r="103" spans="2:18" ht="16.5" hidden="1" customHeight="1" outlineLevel="1" x14ac:dyDescent="0.25">
      <c r="B103" s="167"/>
      <c r="C103" s="205"/>
      <c r="D103" s="206"/>
      <c r="E103" s="397"/>
      <c r="F103" s="197"/>
      <c r="G103" s="383"/>
      <c r="H103" s="207"/>
      <c r="I103" s="208"/>
      <c r="J103" s="209"/>
      <c r="K103" s="210"/>
      <c r="L103" s="211"/>
      <c r="M103" s="212"/>
      <c r="N103" s="211"/>
      <c r="O103" s="212"/>
      <c r="P103" s="211"/>
      <c r="Q103" s="212"/>
      <c r="R103" s="129"/>
    </row>
    <row r="104" spans="2:18" ht="16.5" hidden="1" customHeight="1" outlineLevel="1" x14ac:dyDescent="0.25">
      <c r="B104" s="167"/>
      <c r="C104" s="205"/>
      <c r="D104" s="206"/>
      <c r="E104" s="397"/>
      <c r="F104" s="197"/>
      <c r="G104" s="383"/>
      <c r="H104" s="207"/>
      <c r="I104" s="208"/>
      <c r="J104" s="209"/>
      <c r="K104" s="210"/>
      <c r="L104" s="211"/>
      <c r="M104" s="212"/>
      <c r="N104" s="211"/>
      <c r="O104" s="212"/>
      <c r="P104" s="211"/>
      <c r="Q104" s="212"/>
      <c r="R104" s="129"/>
    </row>
    <row r="105" spans="2:18" ht="16.5" hidden="1" customHeight="1" outlineLevel="1" x14ac:dyDescent="0.25">
      <c r="B105" s="167"/>
      <c r="C105" s="205"/>
      <c r="D105" s="206"/>
      <c r="E105" s="397"/>
      <c r="F105" s="197"/>
      <c r="G105" s="383"/>
      <c r="H105" s="207"/>
      <c r="I105" s="208"/>
      <c r="J105" s="209"/>
      <c r="K105" s="210"/>
      <c r="L105" s="211"/>
      <c r="M105" s="212"/>
      <c r="N105" s="211"/>
      <c r="O105" s="212"/>
      <c r="P105" s="211"/>
      <c r="Q105" s="212"/>
      <c r="R105" s="129"/>
    </row>
    <row r="106" spans="2:18" ht="16.5" customHeight="1" collapsed="1" x14ac:dyDescent="0.25">
      <c r="B106" s="167"/>
      <c r="C106" s="205"/>
      <c r="D106" s="206"/>
      <c r="E106" s="397"/>
      <c r="F106" s="197"/>
      <c r="G106" s="383"/>
      <c r="H106" s="207"/>
      <c r="I106" s="208"/>
      <c r="J106" s="209"/>
      <c r="K106" s="210"/>
      <c r="L106" s="211"/>
      <c r="M106" s="212"/>
      <c r="N106" s="211"/>
      <c r="O106" s="212"/>
      <c r="P106" s="211"/>
      <c r="Q106" s="212"/>
      <c r="R106" s="129"/>
    </row>
    <row r="107" spans="2:18" ht="16.5" customHeight="1" x14ac:dyDescent="0.25">
      <c r="B107" s="167"/>
      <c r="C107" s="205"/>
      <c r="D107" s="206"/>
      <c r="E107" s="397"/>
      <c r="F107" s="197"/>
      <c r="G107" s="383"/>
      <c r="H107" s="207"/>
      <c r="I107" s="208"/>
      <c r="J107" s="209"/>
      <c r="K107" s="210"/>
      <c r="L107" s="211"/>
      <c r="M107" s="212"/>
      <c r="N107" s="211"/>
      <c r="O107" s="212"/>
      <c r="P107" s="211"/>
      <c r="Q107" s="212"/>
      <c r="R107" s="129"/>
    </row>
    <row r="108" spans="2:18" ht="16.5" hidden="1" customHeight="1" outlineLevel="1" x14ac:dyDescent="0.25">
      <c r="B108" s="167"/>
      <c r="C108" s="205"/>
      <c r="D108" s="206"/>
      <c r="E108" s="397"/>
      <c r="F108" s="197"/>
      <c r="G108" s="383"/>
      <c r="H108" s="207"/>
      <c r="I108" s="208"/>
      <c r="J108" s="209"/>
      <c r="K108" s="210"/>
      <c r="L108" s="211"/>
      <c r="M108" s="212"/>
      <c r="N108" s="211"/>
      <c r="O108" s="212"/>
      <c r="P108" s="211"/>
      <c r="Q108" s="212"/>
      <c r="R108" s="129"/>
    </row>
    <row r="109" spans="2:18" ht="16.5" hidden="1" customHeight="1" outlineLevel="1" x14ac:dyDescent="0.25">
      <c r="B109" s="167"/>
      <c r="C109" s="205"/>
      <c r="D109" s="206"/>
      <c r="E109" s="397"/>
      <c r="F109" s="197"/>
      <c r="G109" s="383"/>
      <c r="H109" s="207"/>
      <c r="I109" s="208"/>
      <c r="J109" s="209"/>
      <c r="K109" s="210"/>
      <c r="L109" s="211"/>
      <c r="M109" s="212"/>
      <c r="N109" s="211"/>
      <c r="O109" s="212"/>
      <c r="P109" s="211"/>
      <c r="Q109" s="212"/>
      <c r="R109" s="129"/>
    </row>
    <row r="110" spans="2:18" ht="16.5" hidden="1" customHeight="1" outlineLevel="1" x14ac:dyDescent="0.25">
      <c r="B110" s="167"/>
      <c r="C110" s="205"/>
      <c r="D110" s="206"/>
      <c r="E110" s="397"/>
      <c r="F110" s="197"/>
      <c r="G110" s="383"/>
      <c r="H110" s="207"/>
      <c r="I110" s="208"/>
      <c r="J110" s="209"/>
      <c r="K110" s="210"/>
      <c r="L110" s="211"/>
      <c r="M110" s="212"/>
      <c r="N110" s="211"/>
      <c r="O110" s="212"/>
      <c r="P110" s="211"/>
      <c r="Q110" s="212"/>
      <c r="R110" s="129"/>
    </row>
    <row r="111" spans="2:18" ht="16.5" customHeight="1" collapsed="1" x14ac:dyDescent="0.25">
      <c r="B111" s="167"/>
      <c r="C111" s="213"/>
      <c r="D111" s="214"/>
      <c r="E111" s="398"/>
      <c r="F111" s="215"/>
      <c r="G111" s="384"/>
      <c r="H111" s="216"/>
      <c r="I111" s="217"/>
      <c r="J111" s="218"/>
      <c r="K111" s="219"/>
      <c r="L111" s="220"/>
      <c r="M111" s="221"/>
      <c r="N111" s="220"/>
      <c r="O111" s="221"/>
      <c r="P111" s="220"/>
      <c r="Q111" s="221"/>
      <c r="R111" s="129"/>
    </row>
    <row r="112" spans="2:18" ht="16.5" customHeight="1" x14ac:dyDescent="0.25">
      <c r="B112" s="167"/>
      <c r="C112" s="213"/>
      <c r="D112" s="214"/>
      <c r="E112" s="398"/>
      <c r="F112" s="215"/>
      <c r="G112" s="384"/>
      <c r="H112" s="216"/>
      <c r="I112" s="217"/>
      <c r="J112" s="218"/>
      <c r="K112" s="219"/>
      <c r="L112" s="220"/>
      <c r="M112" s="221"/>
      <c r="N112" s="220"/>
      <c r="O112" s="221"/>
      <c r="P112" s="220"/>
      <c r="Q112" s="221"/>
      <c r="R112" s="129"/>
    </row>
    <row r="113" spans="2:22" ht="16.5" customHeight="1" x14ac:dyDescent="0.25">
      <c r="B113" s="167"/>
      <c r="C113" s="205"/>
      <c r="D113" s="206"/>
      <c r="E113" s="397"/>
      <c r="F113" s="197"/>
      <c r="G113" s="383"/>
      <c r="H113" s="207"/>
      <c r="I113" s="208"/>
      <c r="J113" s="209"/>
      <c r="K113" s="210"/>
      <c r="L113" s="211"/>
      <c r="M113" s="212"/>
      <c r="N113" s="211"/>
      <c r="O113" s="212"/>
      <c r="P113" s="211"/>
      <c r="Q113" s="212"/>
      <c r="R113" s="129"/>
    </row>
    <row r="114" spans="2:22" ht="16.5" hidden="1" customHeight="1" outlineLevel="1" x14ac:dyDescent="0.25">
      <c r="B114" s="167">
        <v>121</v>
      </c>
      <c r="C114" s="205"/>
      <c r="D114" s="206"/>
      <c r="E114" s="397"/>
      <c r="F114" s="197" t="e">
        <f t="shared" ref="F114:F117" ca="1" si="28">INDIRECT("'"&amp;$P$6&amp;"'!H"&amp;($B114))&amp;" ( "&amp;INDIRECT("'"&amp;$P$6&amp;"'!I"&amp;($B114))&amp;" )"</f>
        <v>#REF!</v>
      </c>
      <c r="G114" s="383"/>
      <c r="H114" s="207"/>
      <c r="I114" s="208"/>
      <c r="J114" s="209"/>
      <c r="K114" s="210"/>
      <c r="L114" s="211"/>
      <c r="M114" s="212" t="e">
        <f t="shared" ref="M114:M117" ca="1" si="29">O114+Q114</f>
        <v>#NAME?</v>
      </c>
      <c r="N114" s="211"/>
      <c r="O114" s="212" t="e">
        <f ca="1">INDEX(INDIRECT("'"&amp;$P$6&amp;"'!"&amp;LETRACOLUMNA(10+($L$7-1)*6)&amp;(24)&amp;":"&amp;LETRACOLUMNA(15+($L$7-1)*6)&amp;(141)),($B114-23),4)</f>
        <v>#NAME?</v>
      </c>
      <c r="P114" s="211"/>
      <c r="Q114" s="212" t="e">
        <f ca="1">INDEX(INDIRECT("'"&amp;$P$6&amp;"'!"&amp;LETRACOLUMNA(10+($L$7-1)*6)&amp;(24)&amp;":"&amp;LETRACOLUMNA(15+($L$7-1)*6)&amp;(141)),($B114-23),1)*INDIRECT("'"&amp;$P$6&amp;"'!G"&amp;($B114))</f>
        <v>#NAME?</v>
      </c>
      <c r="R114" s="129"/>
    </row>
    <row r="115" spans="2:22" ht="16.5" hidden="1" customHeight="1" outlineLevel="1" x14ac:dyDescent="0.25">
      <c r="B115" s="167">
        <v>122</v>
      </c>
      <c r="C115" s="205"/>
      <c r="D115" s="206"/>
      <c r="E115" s="397"/>
      <c r="F115" s="197" t="e">
        <f t="shared" ca="1" si="28"/>
        <v>#REF!</v>
      </c>
      <c r="G115" s="383"/>
      <c r="H115" s="207"/>
      <c r="I115" s="208"/>
      <c r="J115" s="209"/>
      <c r="K115" s="210"/>
      <c r="L115" s="211"/>
      <c r="M115" s="212" t="e">
        <f t="shared" ca="1" si="29"/>
        <v>#NAME?</v>
      </c>
      <c r="N115" s="211"/>
      <c r="O115" s="212" t="e">
        <f ca="1">INDEX(INDIRECT("'"&amp;$P$6&amp;"'!"&amp;LETRACOLUMNA(10+($L$7-1)*6)&amp;(24)&amp;":"&amp;LETRACOLUMNA(15+($L$7-1)*6)&amp;(141)),($B115-23),4)</f>
        <v>#NAME?</v>
      </c>
      <c r="P115" s="211"/>
      <c r="Q115" s="212" t="e">
        <f ca="1">INDEX(INDIRECT("'"&amp;$P$6&amp;"'!"&amp;LETRACOLUMNA(10+($L$7-1)*6)&amp;(24)&amp;":"&amp;LETRACOLUMNA(15+($L$7-1)*6)&amp;(141)),($B115-23),1)*INDIRECT("'"&amp;$P$6&amp;"'!G"&amp;($B115))</f>
        <v>#NAME?</v>
      </c>
      <c r="R115" s="129"/>
    </row>
    <row r="116" spans="2:22" ht="16.5" hidden="1" customHeight="1" outlineLevel="1" x14ac:dyDescent="0.25">
      <c r="B116" s="167">
        <v>123</v>
      </c>
      <c r="C116" s="205"/>
      <c r="D116" s="206"/>
      <c r="E116" s="397"/>
      <c r="F116" s="197" t="e">
        <f t="shared" ca="1" si="28"/>
        <v>#REF!</v>
      </c>
      <c r="G116" s="383"/>
      <c r="H116" s="207"/>
      <c r="I116" s="208"/>
      <c r="J116" s="209"/>
      <c r="K116" s="210"/>
      <c r="L116" s="211"/>
      <c r="M116" s="212" t="e">
        <f t="shared" ca="1" si="29"/>
        <v>#NAME?</v>
      </c>
      <c r="N116" s="211"/>
      <c r="O116" s="212" t="e">
        <f ca="1">INDEX(INDIRECT("'"&amp;$P$6&amp;"'!"&amp;LETRACOLUMNA(10+($L$7-1)*6)&amp;(24)&amp;":"&amp;LETRACOLUMNA(15+($L$7-1)*6)&amp;(141)),($B116-23),4)</f>
        <v>#NAME?</v>
      </c>
      <c r="P116" s="211"/>
      <c r="Q116" s="212" t="e">
        <f ca="1">INDEX(INDIRECT("'"&amp;$P$6&amp;"'!"&amp;LETRACOLUMNA(10+($L$7-1)*6)&amp;(24)&amp;":"&amp;LETRACOLUMNA(15+($L$7-1)*6)&amp;(141)),($B116-23),1)*INDIRECT("'"&amp;$P$6&amp;"'!G"&amp;($B116))</f>
        <v>#NAME?</v>
      </c>
      <c r="R116" s="129"/>
    </row>
    <row r="117" spans="2:22" ht="16.5" hidden="1" customHeight="1" outlineLevel="1" x14ac:dyDescent="0.25">
      <c r="B117" s="167">
        <v>124</v>
      </c>
      <c r="C117" s="222"/>
      <c r="D117" s="223"/>
      <c r="E117" s="399"/>
      <c r="F117" s="197" t="e">
        <f t="shared" ca="1" si="28"/>
        <v>#REF!</v>
      </c>
      <c r="G117" s="385"/>
      <c r="H117" s="224"/>
      <c r="I117" s="225"/>
      <c r="J117" s="226"/>
      <c r="K117" s="227"/>
      <c r="L117" s="211"/>
      <c r="M117" s="212" t="e">
        <f t="shared" ca="1" si="29"/>
        <v>#NAME?</v>
      </c>
      <c r="N117" s="228"/>
      <c r="O117" s="212" t="e">
        <f ca="1">INDEX(INDIRECT("'"&amp;$P$6&amp;"'!"&amp;LETRACOLUMNA(10+($L$7-1)*6)&amp;(24)&amp;":"&amp;LETRACOLUMNA(15+($L$7-1)*6)&amp;(141)),($B117-23),4)</f>
        <v>#NAME?</v>
      </c>
      <c r="P117" s="228"/>
      <c r="Q117" s="212" t="e">
        <f ca="1">INDEX(INDIRECT("'"&amp;$P$6&amp;"'!"&amp;LETRACOLUMNA(10+($L$7-1)*6)&amp;(24)&amp;":"&amp;LETRACOLUMNA(15+($L$7-1)*6)&amp;(141)),($B117-23),1)*INDIRECT("'"&amp;$P$6&amp;"'!G"&amp;($B117))</f>
        <v>#NAME?</v>
      </c>
      <c r="R117" s="129"/>
      <c r="V117" s="124" t="s">
        <v>105</v>
      </c>
    </row>
    <row r="118" spans="2:22" ht="13.5" collapsed="1" thickBot="1" x14ac:dyDescent="0.25">
      <c r="B118" s="167"/>
      <c r="C118" s="229"/>
      <c r="D118" s="230"/>
      <c r="E118" s="400"/>
      <c r="F118" s="231"/>
      <c r="G118" s="232"/>
      <c r="H118" s="233"/>
      <c r="I118" s="234"/>
      <c r="J118" s="235"/>
      <c r="K118" s="438"/>
      <c r="L118" s="432"/>
      <c r="M118" s="433"/>
      <c r="N118" s="432"/>
      <c r="O118" s="434"/>
      <c r="P118" s="432"/>
      <c r="Q118" s="236"/>
      <c r="R118" s="129"/>
      <c r="V118" s="124" t="s">
        <v>106</v>
      </c>
    </row>
    <row r="119" spans="2:22" ht="37.5" customHeight="1" thickBot="1" x14ac:dyDescent="0.25">
      <c r="B119" s="167">
        <v>129</v>
      </c>
      <c r="C119" s="237"/>
      <c r="D119" s="239"/>
      <c r="E119" s="401"/>
      <c r="F119" s="240" t="s">
        <v>107</v>
      </c>
      <c r="G119" s="241"/>
      <c r="H119" s="242"/>
      <c r="I119" s="238" t="s">
        <v>108</v>
      </c>
      <c r="J119" s="243">
        <f>J100</f>
        <v>0</v>
      </c>
      <c r="K119" s="439"/>
      <c r="L119" s="441"/>
      <c r="M119" s="436" t="str">
        <f>"Valor neto de este Estado de Pago "&amp;"( "&amp;P9&amp;" )"</f>
        <v>Valor neto de este Estado de Pago ( 0 )</v>
      </c>
      <c r="N119" s="436"/>
      <c r="O119" s="436"/>
      <c r="P119" s="440"/>
      <c r="Q119" s="431">
        <f>Q100</f>
        <v>0</v>
      </c>
      <c r="R119" s="129"/>
    </row>
    <row r="120" spans="2:22" ht="37.5" customHeight="1" thickBot="1" x14ac:dyDescent="0.25">
      <c r="B120" s="167">
        <v>129</v>
      </c>
      <c r="C120" s="244"/>
      <c r="D120" s="245"/>
      <c r="E120" s="245"/>
      <c r="F120" s="246" t="str">
        <f>"T/C ("&amp;P9&amp;") EDP  :"</f>
        <v>T/C (0) EDP  :</v>
      </c>
      <c r="G120" s="247">
        <f>Datos!B78*680</f>
        <v>0</v>
      </c>
      <c r="H120" s="483"/>
      <c r="I120" s="484"/>
      <c r="J120" s="485"/>
      <c r="K120" s="439"/>
      <c r="L120" s="429"/>
      <c r="M120" s="436" t="str">
        <f t="shared" ref="M120" si="30">"Valor neto de este Estado de Pago (CLP)"</f>
        <v>Valor neto de este Estado de Pago (CLP)</v>
      </c>
      <c r="N120" s="436"/>
      <c r="O120" s="430"/>
      <c r="P120" s="437"/>
      <c r="Q120" s="486">
        <f>G120*Q119</f>
        <v>0</v>
      </c>
      <c r="R120" s="129"/>
    </row>
    <row r="121" spans="2:22" ht="19.5" customHeight="1" thickBot="1" x14ac:dyDescent="0.25">
      <c r="B121" s="167"/>
      <c r="C121" s="442"/>
      <c r="D121" s="443"/>
      <c r="E121" s="443"/>
      <c r="F121" s="444"/>
      <c r="G121" s="248"/>
      <c r="H121" s="479" t="s">
        <v>109</v>
      </c>
      <c r="I121" s="480">
        <f>IF(Datos!B45="Afecto a IVA",0.19,0)</f>
        <v>0</v>
      </c>
      <c r="J121" s="481"/>
      <c r="K121" s="482"/>
      <c r="L121" s="501"/>
      <c r="M121" s="404"/>
      <c r="N121" s="404" t="s">
        <v>110</v>
      </c>
      <c r="O121" s="404"/>
      <c r="P121" s="502"/>
      <c r="Q121" s="506">
        <f>Q120*I121</f>
        <v>0</v>
      </c>
      <c r="R121" s="129"/>
    </row>
    <row r="122" spans="2:22" s="251" customFormat="1" ht="18.75" customHeight="1" thickBot="1" x14ac:dyDescent="0.3">
      <c r="B122" s="249"/>
      <c r="C122" s="442"/>
      <c r="D122" s="443"/>
      <c r="E122" s="443"/>
      <c r="F122" s="444"/>
      <c r="G122" s="445"/>
      <c r="H122" s="446"/>
      <c r="I122" s="435"/>
      <c r="J122" s="447"/>
      <c r="K122" s="448"/>
      <c r="L122" s="441"/>
      <c r="M122" s="436"/>
      <c r="N122" s="436" t="s">
        <v>111</v>
      </c>
      <c r="O122" s="436"/>
      <c r="P122" s="440"/>
      <c r="Q122" s="477">
        <f>Q120+Q121</f>
        <v>0</v>
      </c>
      <c r="R122" s="250"/>
    </row>
    <row r="123" spans="2:22" ht="21.75" customHeight="1" thickBot="1" x14ac:dyDescent="0.25">
      <c r="B123" s="167"/>
      <c r="C123" s="449"/>
      <c r="D123" s="450"/>
      <c r="E123" s="450"/>
      <c r="F123" s="450" t="s">
        <v>112</v>
      </c>
      <c r="G123" s="451"/>
      <c r="H123" s="452"/>
      <c r="I123" s="452"/>
      <c r="J123" s="452"/>
      <c r="K123" s="452"/>
      <c r="L123" s="503" t="s">
        <v>113</v>
      </c>
      <c r="M123" s="504"/>
      <c r="N123" s="504"/>
      <c r="O123" s="504"/>
      <c r="P123" s="504"/>
      <c r="Q123" s="453"/>
      <c r="R123" s="129"/>
    </row>
    <row r="124" spans="2:22" ht="12.75" customHeight="1" x14ac:dyDescent="0.2">
      <c r="B124" s="167"/>
      <c r="C124" s="455" t="s">
        <v>114</v>
      </c>
      <c r="D124" s="347"/>
      <c r="E124" s="347"/>
      <c r="F124" s="323">
        <f>Datos!B63</f>
        <v>0</v>
      </c>
      <c r="G124" s="336"/>
      <c r="H124" s="321" t="s">
        <v>115</v>
      </c>
      <c r="I124" s="337"/>
      <c r="J124" s="355"/>
      <c r="K124" s="454" t="s">
        <v>114</v>
      </c>
      <c r="L124" s="356"/>
      <c r="M124" s="457"/>
      <c r="N124" s="327"/>
      <c r="O124" s="403" t="s">
        <v>116</v>
      </c>
      <c r="P124" s="487"/>
      <c r="Q124" s="487" t="s">
        <v>117</v>
      </c>
      <c r="R124" s="129"/>
    </row>
    <row r="125" spans="2:22" ht="12.75" customHeight="1" x14ac:dyDescent="0.2">
      <c r="B125" s="167"/>
      <c r="C125" s="360"/>
      <c r="D125" s="348"/>
      <c r="E125" s="348"/>
      <c r="F125" s="348"/>
      <c r="G125" s="338"/>
      <c r="H125" s="339"/>
      <c r="I125" s="339"/>
      <c r="J125" s="338"/>
      <c r="K125" s="339"/>
      <c r="L125" s="339"/>
      <c r="M125" s="456"/>
      <c r="N125" s="338"/>
      <c r="O125" s="339"/>
      <c r="P125" s="456"/>
      <c r="Q125" s="456"/>
      <c r="R125" s="129"/>
    </row>
    <row r="126" spans="2:22" ht="12.75" customHeight="1" x14ac:dyDescent="0.2">
      <c r="B126" s="167"/>
      <c r="C126" s="363" t="s">
        <v>115</v>
      </c>
      <c r="D126" s="319"/>
      <c r="E126" s="319"/>
      <c r="F126" s="319"/>
      <c r="G126" s="345"/>
      <c r="H126" s="346"/>
      <c r="I126" s="346"/>
      <c r="J126" s="458"/>
      <c r="K126" s="335"/>
      <c r="L126" s="335"/>
      <c r="M126" s="459"/>
      <c r="N126" s="364"/>
      <c r="O126" s="324"/>
      <c r="P126" s="495"/>
      <c r="Q126" s="488"/>
      <c r="R126" s="129"/>
    </row>
    <row r="127" spans="2:22" x14ac:dyDescent="0.2">
      <c r="B127" s="167"/>
      <c r="C127" s="361"/>
      <c r="D127" s="320"/>
      <c r="E127" s="320"/>
      <c r="F127" s="320">
        <f>Datos!B64</f>
        <v>0</v>
      </c>
      <c r="G127" s="336"/>
      <c r="H127" s="341" t="s">
        <v>118</v>
      </c>
      <c r="I127" s="337"/>
      <c r="J127" s="458"/>
      <c r="K127" s="335" t="s">
        <v>119</v>
      </c>
      <c r="L127" s="335"/>
      <c r="M127" s="459"/>
      <c r="N127" s="364"/>
      <c r="O127" s="324"/>
      <c r="P127" s="495"/>
      <c r="Q127" s="488"/>
      <c r="R127" s="129"/>
    </row>
    <row r="128" spans="2:22" ht="12.75" customHeight="1" x14ac:dyDescent="0.2">
      <c r="B128" s="167"/>
      <c r="C128" s="360"/>
      <c r="D128" s="359"/>
      <c r="E128" s="343"/>
      <c r="F128" s="343"/>
      <c r="G128" s="336"/>
      <c r="H128" s="337"/>
      <c r="I128" s="337"/>
      <c r="J128" s="460"/>
      <c r="K128" s="340"/>
      <c r="L128" s="340"/>
      <c r="M128" s="461"/>
      <c r="N128" s="365"/>
      <c r="O128" s="326"/>
      <c r="P128" s="496"/>
      <c r="Q128" s="489"/>
      <c r="R128" s="129"/>
    </row>
    <row r="129" spans="2:18" ht="12.75" customHeight="1" x14ac:dyDescent="0.2">
      <c r="B129" s="167"/>
      <c r="C129" s="363" t="s">
        <v>117</v>
      </c>
      <c r="D129" s="342"/>
      <c r="E129" s="342"/>
      <c r="F129" s="353"/>
      <c r="G129" s="345"/>
      <c r="H129" s="346"/>
      <c r="I129" s="346"/>
      <c r="J129" s="462"/>
      <c r="K129" s="322"/>
      <c r="L129" s="322"/>
      <c r="M129" s="463"/>
      <c r="N129" s="366"/>
      <c r="O129" s="349"/>
      <c r="P129" s="497"/>
      <c r="Q129" s="490"/>
      <c r="R129" s="129"/>
    </row>
    <row r="130" spans="2:18" ht="51" customHeight="1" x14ac:dyDescent="0.2">
      <c r="B130" s="167"/>
      <c r="C130" s="360"/>
      <c r="D130" s="343"/>
      <c r="E130" s="343"/>
      <c r="F130" s="325">
        <f>P6</f>
        <v>0</v>
      </c>
      <c r="G130" s="338"/>
      <c r="H130" s="402" t="s">
        <v>120</v>
      </c>
      <c r="I130" s="339"/>
      <c r="J130" s="466"/>
      <c r="K130" s="478">
        <f>Datos!B60</f>
        <v>0</v>
      </c>
      <c r="L130" s="340"/>
      <c r="M130" s="467"/>
      <c r="N130" s="368"/>
      <c r="O130" s="351"/>
      <c r="P130" s="498"/>
      <c r="Q130" s="491"/>
      <c r="R130" s="129"/>
    </row>
    <row r="131" spans="2:18" x14ac:dyDescent="0.2">
      <c r="B131" s="167"/>
      <c r="C131" s="363" t="s">
        <v>116</v>
      </c>
      <c r="D131" s="342"/>
      <c r="E131" s="342"/>
      <c r="F131" s="342"/>
      <c r="G131" s="336"/>
      <c r="H131" s="337"/>
      <c r="I131" s="337"/>
      <c r="J131" s="462"/>
      <c r="K131" s="322"/>
      <c r="L131" s="322"/>
      <c r="M131" s="463"/>
      <c r="N131" s="366"/>
      <c r="O131" s="349"/>
      <c r="P131" s="497"/>
      <c r="Q131" s="490"/>
      <c r="R131" s="129"/>
    </row>
    <row r="132" spans="2:18" x14ac:dyDescent="0.2">
      <c r="B132" s="167"/>
      <c r="C132" s="361"/>
      <c r="D132" s="342"/>
      <c r="E132" s="342"/>
      <c r="F132" s="342"/>
      <c r="G132" s="336"/>
      <c r="H132" s="337"/>
      <c r="I132" s="337"/>
      <c r="J132" s="464"/>
      <c r="K132" s="323"/>
      <c r="L132" s="323"/>
      <c r="M132" s="465"/>
      <c r="N132" s="367"/>
      <c r="O132" s="350"/>
      <c r="P132" s="493"/>
      <c r="Q132" s="492"/>
      <c r="R132" s="129"/>
    </row>
    <row r="133" spans="2:18" ht="12.75" customHeight="1" x14ac:dyDescent="0.2">
      <c r="B133" s="167"/>
      <c r="C133" s="361"/>
      <c r="D133" s="342"/>
      <c r="E133" s="342"/>
      <c r="F133" s="342"/>
      <c r="G133" s="336"/>
      <c r="H133" s="337"/>
      <c r="I133" s="337"/>
      <c r="J133" s="468"/>
      <c r="K133" s="347"/>
      <c r="L133" s="347"/>
      <c r="M133" s="469"/>
      <c r="N133" s="367"/>
      <c r="O133" s="350"/>
      <c r="P133" s="493"/>
      <c r="Q133" s="493"/>
      <c r="R133" s="129"/>
    </row>
    <row r="134" spans="2:18" x14ac:dyDescent="0.2">
      <c r="B134" s="167"/>
      <c r="C134" s="361"/>
      <c r="D134" s="342"/>
      <c r="E134" s="342"/>
      <c r="F134" s="342"/>
      <c r="G134" s="336"/>
      <c r="H134" s="341" t="s">
        <v>121</v>
      </c>
      <c r="I134" s="337"/>
      <c r="J134" s="468"/>
      <c r="K134" s="347"/>
      <c r="L134" s="347"/>
      <c r="M134" s="469"/>
      <c r="N134" s="367"/>
      <c r="O134" s="350"/>
      <c r="P134" s="493"/>
      <c r="Q134" s="493"/>
      <c r="R134" s="129"/>
    </row>
    <row r="135" spans="2:18" x14ac:dyDescent="0.2">
      <c r="B135" s="167"/>
      <c r="C135" s="361"/>
      <c r="D135" s="342"/>
      <c r="E135" s="342"/>
      <c r="F135" s="342"/>
      <c r="G135" s="336"/>
      <c r="H135" s="337"/>
      <c r="I135" s="337"/>
      <c r="J135" s="468"/>
      <c r="K135" s="347"/>
      <c r="L135" s="347"/>
      <c r="M135" s="469"/>
      <c r="N135" s="367"/>
      <c r="O135" s="350"/>
      <c r="P135" s="493"/>
      <c r="Q135" s="493"/>
      <c r="R135" s="129"/>
    </row>
    <row r="136" spans="2:18" ht="13.5" thickBot="1" x14ac:dyDescent="0.25">
      <c r="B136" s="167"/>
      <c r="C136" s="362"/>
      <c r="D136" s="344"/>
      <c r="E136" s="344"/>
      <c r="F136" s="344"/>
      <c r="G136" s="354"/>
      <c r="H136" s="357"/>
      <c r="I136" s="357"/>
      <c r="J136" s="470"/>
      <c r="K136" s="358"/>
      <c r="L136" s="358"/>
      <c r="M136" s="471"/>
      <c r="N136" s="369"/>
      <c r="O136" s="352"/>
      <c r="P136" s="494"/>
      <c r="Q136" s="494"/>
      <c r="R136" s="129"/>
    </row>
    <row r="137" spans="2:18" ht="13.5" thickBot="1" x14ac:dyDescent="0.25">
      <c r="B137" s="252"/>
      <c r="C137" s="253"/>
      <c r="D137" s="253"/>
      <c r="E137" s="253"/>
      <c r="F137" s="253"/>
      <c r="G137" s="253"/>
      <c r="H137" s="253"/>
      <c r="I137" s="253"/>
      <c r="J137" s="253"/>
      <c r="K137" s="253"/>
      <c r="L137" s="253"/>
      <c r="M137" s="253"/>
      <c r="N137" s="253"/>
      <c r="O137" s="253"/>
      <c r="P137" s="253"/>
      <c r="Q137" s="253"/>
      <c r="R137" s="254"/>
    </row>
  </sheetData>
  <mergeCells count="5">
    <mergeCell ref="H7:K7"/>
    <mergeCell ref="G10:J10"/>
    <mergeCell ref="K10:M10"/>
    <mergeCell ref="C4:Q4"/>
    <mergeCell ref="P6:Q6"/>
  </mergeCells>
  <conditionalFormatting sqref="Q12:Q99">
    <cfRule type="expression" dxfId="1" priority="2">
      <formula>P12&gt;(H12-N12)</formula>
    </cfRule>
  </conditionalFormatting>
  <conditionalFormatting sqref="O27:O98">
    <cfRule type="expression" dxfId="0" priority="1">
      <formula>N27&gt;(F27-L27)</formula>
    </cfRule>
  </conditionalFormatting>
  <pageMargins left="0.7" right="0.7" top="0.75" bottom="0.75" header="0.3" footer="0.3"/>
  <pageSetup scale="33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AA460E2D-DE64-40DB-90AB-A63A192576C4}">
            <x14:iconSet iconSet="3Symbols2" custom="1">
              <x14:cfvo type="percent">
                <xm:f>0</xm:f>
              </x14:cfvo>
              <x14:cfvo type="percent">
                <xm:f>0</xm:f>
              </x14:cfvo>
              <x14:cfvo type="num" gte="0">
                <xm:f>1</xm:f>
              </x14:cfvo>
              <x14:cfIcon iconSet="NoIcons" iconId="0"/>
              <x14:cfIcon iconSet="NoIcons" iconId="0"/>
              <x14:cfIcon iconSet="3Symbols2" iconId="0"/>
            </x14:iconSet>
          </x14:cfRule>
          <xm:sqref>K12:K24</xm:sqref>
        </x14:conditionalFormatting>
        <x14:conditionalFormatting xmlns:xm="http://schemas.microsoft.com/office/excel/2006/main">
          <x14:cfRule type="iconSet" priority="4" id="{41D55918-4C0C-4E11-AAD7-782575ED1560}">
            <x14:iconSet iconSet="3Symbols2" custom="1">
              <x14:cfvo type="percent">
                <xm:f>0</xm:f>
              </x14:cfvo>
              <x14:cfvo type="percent">
                <xm:f>0</xm:f>
              </x14:cfvo>
              <x14:cfvo type="num" gte="0">
                <xm:f>1</xm:f>
              </x14:cfvo>
              <x14:cfIcon iconSet="NoIcons" iconId="0"/>
              <x14:cfIcon iconSet="NoIcons" iconId="0"/>
              <x14:cfIcon iconSet="3Symbols2" iconId="0"/>
            </x14:iconSet>
          </x14:cfRule>
          <xm:sqref>K25:K26 K99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1"/>
    <pageSetUpPr fitToPage="1"/>
  </sheetPr>
  <dimension ref="B1:N37"/>
  <sheetViews>
    <sheetView showGridLines="0" view="pageBreakPreview" topLeftCell="A16" zoomScale="120" zoomScaleNormal="120" zoomScaleSheetLayoutView="120" workbookViewId="0">
      <selection activeCell="F11" sqref="F11"/>
    </sheetView>
  </sheetViews>
  <sheetFormatPr baseColWidth="10" defaultRowHeight="15" x14ac:dyDescent="0.25"/>
  <cols>
    <col min="1" max="1" width="2.140625" customWidth="1"/>
    <col min="2" max="2" width="1.85546875" customWidth="1"/>
    <col min="5" max="5" width="17.42578125" customWidth="1"/>
    <col min="7" max="7" width="4.85546875" customWidth="1"/>
    <col min="8" max="8" width="39" customWidth="1"/>
    <col min="9" max="9" width="13.5703125" customWidth="1"/>
    <col min="10" max="10" width="3.85546875" customWidth="1"/>
    <col min="11" max="11" width="4" customWidth="1"/>
    <col min="12" max="12" width="3" customWidth="1"/>
  </cols>
  <sheetData>
    <row r="1" spans="2:13" ht="9.75" customHeight="1" thickBot="1" x14ac:dyDescent="0.3"/>
    <row r="2" spans="2:13" x14ac:dyDescent="0.25">
      <c r="B2" s="2"/>
      <c r="C2" s="3"/>
      <c r="D2" s="3"/>
      <c r="E2" s="3"/>
      <c r="F2" s="3"/>
      <c r="G2" s="3"/>
      <c r="H2" s="3"/>
      <c r="I2" s="3"/>
      <c r="J2" s="3"/>
      <c r="K2" s="4"/>
    </row>
    <row r="3" spans="2:13" x14ac:dyDescent="0.25">
      <c r="B3" s="5"/>
      <c r="C3" s="6"/>
      <c r="D3" s="6"/>
      <c r="E3" s="6"/>
      <c r="F3" s="6"/>
      <c r="G3" s="6"/>
      <c r="H3" s="6"/>
      <c r="I3" s="6"/>
      <c r="J3" s="6"/>
      <c r="K3" s="7"/>
    </row>
    <row r="4" spans="2:13" ht="21" x14ac:dyDescent="0.35">
      <c r="B4" s="5"/>
      <c r="C4" s="701" t="s">
        <v>18</v>
      </c>
      <c r="D4" s="702"/>
      <c r="E4" s="702"/>
      <c r="F4" s="702"/>
      <c r="G4" s="702"/>
      <c r="H4" s="702"/>
      <c r="I4" s="702"/>
      <c r="J4" s="702"/>
      <c r="K4" s="7"/>
    </row>
    <row r="5" spans="2:13" ht="23.25" x14ac:dyDescent="0.35">
      <c r="B5" s="5"/>
      <c r="C5" s="700" t="s">
        <v>10</v>
      </c>
      <c r="D5" s="700"/>
      <c r="E5" s="700"/>
      <c r="F5" s="700"/>
      <c r="G5" s="700"/>
      <c r="H5" s="700"/>
      <c r="I5" s="700"/>
      <c r="J5" s="700"/>
      <c r="K5" s="7"/>
    </row>
    <row r="6" spans="2:13" ht="23.25" x14ac:dyDescent="0.35">
      <c r="B6" s="5"/>
      <c r="C6" s="24"/>
      <c r="D6" s="24"/>
      <c r="E6" s="24"/>
      <c r="F6" s="24"/>
      <c r="G6" s="24"/>
      <c r="H6" s="24"/>
      <c r="I6" s="24"/>
      <c r="J6" s="24"/>
      <c r="K6" s="7"/>
    </row>
    <row r="7" spans="2:13" ht="21" customHeight="1" x14ac:dyDescent="0.25">
      <c r="B7" s="5"/>
      <c r="C7" s="6" t="s">
        <v>0</v>
      </c>
      <c r="D7" s="6"/>
      <c r="E7" s="28">
        <f>Datos!B7</f>
        <v>0</v>
      </c>
      <c r="F7" s="1"/>
      <c r="G7" s="1"/>
      <c r="H7" s="1"/>
      <c r="I7" s="1"/>
      <c r="J7" s="1"/>
      <c r="K7" s="7"/>
    </row>
    <row r="8" spans="2:13" ht="21" customHeight="1" x14ac:dyDescent="0.25">
      <c r="B8" s="5"/>
      <c r="C8" s="6" t="s">
        <v>2</v>
      </c>
      <c r="D8" s="6"/>
      <c r="E8" s="28">
        <f>Datos!B8</f>
        <v>0</v>
      </c>
      <c r="F8" s="1"/>
      <c r="G8" s="1"/>
      <c r="H8" s="1"/>
      <c r="I8" s="1"/>
      <c r="J8" s="1"/>
      <c r="K8" s="7"/>
    </row>
    <row r="9" spans="2:13" ht="19.5" customHeight="1" x14ac:dyDescent="0.25">
      <c r="B9" s="5"/>
      <c r="C9" s="6" t="s">
        <v>1</v>
      </c>
      <c r="D9" s="6"/>
      <c r="E9" s="1">
        <f>Datos!B20</f>
        <v>0</v>
      </c>
      <c r="F9" s="1"/>
      <c r="G9" s="1"/>
      <c r="H9" s="1"/>
      <c r="I9" s="1"/>
      <c r="J9" s="1"/>
      <c r="K9" s="7"/>
    </row>
    <row r="10" spans="2:13" ht="18.75" customHeight="1" x14ac:dyDescent="0.25">
      <c r="B10" s="5"/>
      <c r="C10" s="6" t="s">
        <v>3</v>
      </c>
      <c r="D10" s="6"/>
      <c r="E10" s="17">
        <f ca="1">TODAY()</f>
        <v>43043</v>
      </c>
      <c r="F10" s="1"/>
      <c r="G10" s="1"/>
      <c r="H10" s="1"/>
      <c r="I10" s="1"/>
      <c r="J10" s="1"/>
      <c r="K10" s="7"/>
    </row>
    <row r="11" spans="2:13" ht="22.5" customHeight="1" x14ac:dyDescent="0.25">
      <c r="B11" s="5"/>
      <c r="C11" s="6"/>
      <c r="D11" s="6"/>
      <c r="E11" s="6"/>
      <c r="F11" s="6"/>
      <c r="G11" s="6"/>
      <c r="H11" s="6"/>
      <c r="I11" s="6"/>
      <c r="J11" s="6"/>
      <c r="K11" s="7"/>
    </row>
    <row r="12" spans="2:13" x14ac:dyDescent="0.25">
      <c r="B12" s="5"/>
      <c r="C12" s="8" t="s">
        <v>15</v>
      </c>
      <c r="D12" s="6"/>
      <c r="E12" s="6"/>
      <c r="F12" s="23"/>
      <c r="G12" s="22"/>
      <c r="H12" s="22"/>
      <c r="I12" s="6"/>
      <c r="J12" s="6"/>
      <c r="K12" s="7"/>
    </row>
    <row r="13" spans="2:13" x14ac:dyDescent="0.25">
      <c r="B13" s="5"/>
      <c r="C13" s="29"/>
      <c r="D13" s="6"/>
      <c r="E13" s="6"/>
      <c r="F13" s="8"/>
      <c r="G13" s="6"/>
      <c r="H13" s="6"/>
      <c r="I13" s="6"/>
      <c r="J13" s="6"/>
      <c r="K13" s="7"/>
    </row>
    <row r="14" spans="2:13" x14ac:dyDescent="0.25">
      <c r="B14" s="5"/>
      <c r="C14" s="699" t="s">
        <v>20</v>
      </c>
      <c r="D14" s="699"/>
      <c r="E14" s="699"/>
      <c r="F14" s="699"/>
      <c r="G14" s="699"/>
      <c r="H14" s="699"/>
      <c r="I14" s="699"/>
      <c r="J14" s="699"/>
      <c r="K14" s="7"/>
      <c r="M14" s="16"/>
    </row>
    <row r="15" spans="2:13" x14ac:dyDescent="0.25">
      <c r="B15" s="5"/>
      <c r="C15" s="699"/>
      <c r="D15" s="699"/>
      <c r="E15" s="699"/>
      <c r="F15" s="699"/>
      <c r="G15" s="699"/>
      <c r="H15" s="699"/>
      <c r="I15" s="699"/>
      <c r="J15" s="699"/>
      <c r="K15" s="7"/>
      <c r="M15" s="16"/>
    </row>
    <row r="16" spans="2:13" x14ac:dyDescent="0.25">
      <c r="B16" s="5"/>
      <c r="C16" s="699"/>
      <c r="D16" s="699"/>
      <c r="E16" s="699"/>
      <c r="F16" s="699"/>
      <c r="G16" s="699"/>
      <c r="H16" s="699"/>
      <c r="I16" s="699"/>
      <c r="J16" s="699"/>
      <c r="K16" s="7"/>
      <c r="M16" s="16"/>
    </row>
    <row r="17" spans="2:14" ht="13.5" customHeight="1" x14ac:dyDescent="0.25">
      <c r="B17" s="5"/>
      <c r="C17" s="699"/>
      <c r="D17" s="699"/>
      <c r="E17" s="699"/>
      <c r="F17" s="699"/>
      <c r="G17" s="699"/>
      <c r="H17" s="699"/>
      <c r="I17" s="699"/>
      <c r="J17" s="699"/>
      <c r="K17" s="7"/>
      <c r="M17" s="16"/>
    </row>
    <row r="18" spans="2:14" ht="21" customHeight="1" x14ac:dyDescent="0.25">
      <c r="B18" s="5"/>
      <c r="C18" s="699"/>
      <c r="D18" s="699"/>
      <c r="E18" s="699"/>
      <c r="F18" s="699"/>
      <c r="G18" s="699"/>
      <c r="H18" s="699"/>
      <c r="I18" s="699"/>
      <c r="J18" s="699"/>
      <c r="K18" s="7"/>
      <c r="M18" s="16"/>
    </row>
    <row r="19" spans="2:14" ht="29.25" customHeight="1" x14ac:dyDescent="0.25">
      <c r="B19" s="5"/>
      <c r="C19" s="699"/>
      <c r="D19" s="699"/>
      <c r="E19" s="699"/>
      <c r="F19" s="699"/>
      <c r="G19" s="699"/>
      <c r="H19" s="699"/>
      <c r="I19" s="699"/>
      <c r="J19" s="699"/>
      <c r="K19" s="7"/>
      <c r="M19" s="16"/>
    </row>
    <row r="20" spans="2:14" ht="18.75" customHeight="1" x14ac:dyDescent="0.25">
      <c r="B20" s="5"/>
      <c r="C20" s="703"/>
      <c r="D20" s="703"/>
      <c r="E20" s="703"/>
      <c r="F20" s="703"/>
      <c r="G20" s="703"/>
      <c r="H20" s="703"/>
      <c r="K20" s="7"/>
      <c r="M20" s="16"/>
    </row>
    <row r="21" spans="2:14" x14ac:dyDescent="0.25">
      <c r="B21" s="5"/>
      <c r="C21" s="8" t="s">
        <v>13</v>
      </c>
      <c r="D21" s="6"/>
      <c r="E21" s="6"/>
      <c r="F21" s="6"/>
      <c r="G21" s="6"/>
      <c r="H21" s="6"/>
      <c r="I21" s="6"/>
      <c r="J21" s="6"/>
      <c r="K21" s="7"/>
      <c r="M21" s="16"/>
    </row>
    <row r="22" spans="2:14" ht="18" customHeight="1" x14ac:dyDescent="0.25">
      <c r="B22" s="5"/>
      <c r="C22" s="6" t="s">
        <v>8</v>
      </c>
      <c r="D22" s="6"/>
      <c r="E22" s="708">
        <v>46</v>
      </c>
      <c r="F22" s="708"/>
      <c r="G22" s="6" t="s">
        <v>5</v>
      </c>
      <c r="H22" s="6"/>
      <c r="I22" s="6"/>
      <c r="J22" s="6"/>
      <c r="K22" s="7"/>
      <c r="M22" s="16"/>
    </row>
    <row r="23" spans="2:14" ht="15" customHeight="1" x14ac:dyDescent="0.25">
      <c r="B23" s="5"/>
      <c r="C23" s="6" t="s">
        <v>4</v>
      </c>
      <c r="D23" s="6"/>
      <c r="E23" s="705">
        <f>Datos!B36</f>
        <v>0</v>
      </c>
      <c r="F23" s="705"/>
      <c r="G23" s="6"/>
      <c r="H23" s="9"/>
      <c r="I23" s="9"/>
      <c r="J23" s="6"/>
      <c r="K23" s="7"/>
      <c r="M23" s="16"/>
    </row>
    <row r="24" spans="2:14" ht="15" customHeight="1" x14ac:dyDescent="0.25">
      <c r="B24" s="5"/>
      <c r="C24" s="6" t="s">
        <v>6</v>
      </c>
      <c r="D24" s="6"/>
      <c r="E24" s="705">
        <f>Datos!B38</f>
        <v>0</v>
      </c>
      <c r="F24" s="705"/>
      <c r="G24" s="6"/>
      <c r="H24" s="9"/>
      <c r="I24" s="9"/>
      <c r="J24" s="6"/>
      <c r="K24" s="7"/>
      <c r="M24" s="16"/>
    </row>
    <row r="25" spans="2:14" ht="14.25" customHeight="1" x14ac:dyDescent="0.25">
      <c r="B25" s="5"/>
      <c r="C25" s="6" t="s">
        <v>7</v>
      </c>
      <c r="D25" s="6"/>
      <c r="E25" s="705">
        <f>Datos!B91</f>
        <v>0</v>
      </c>
      <c r="F25" s="705"/>
      <c r="G25" s="6" t="s">
        <v>5</v>
      </c>
      <c r="H25" s="9"/>
      <c r="I25" s="9"/>
      <c r="J25" s="6"/>
      <c r="K25" s="7"/>
    </row>
    <row r="26" spans="2:14" ht="13.5" customHeight="1" x14ac:dyDescent="0.25">
      <c r="B26" s="5"/>
      <c r="C26" s="6" t="s">
        <v>12</v>
      </c>
      <c r="D26" s="6"/>
      <c r="E26" s="706">
        <v>0</v>
      </c>
      <c r="F26" s="707"/>
      <c r="G26" s="6"/>
      <c r="H26" s="10"/>
      <c r="I26" s="10"/>
      <c r="J26" s="6"/>
      <c r="K26" s="7"/>
    </row>
    <row r="27" spans="2:14" ht="13.5" customHeight="1" x14ac:dyDescent="0.25">
      <c r="B27" s="5"/>
      <c r="C27" s="6" t="s">
        <v>11</v>
      </c>
      <c r="D27" s="6"/>
      <c r="E27" s="706">
        <v>0</v>
      </c>
      <c r="F27" s="707"/>
      <c r="G27" s="6"/>
      <c r="H27" s="10"/>
      <c r="I27" s="10"/>
      <c r="J27" s="6"/>
      <c r="K27" s="7"/>
      <c r="N27" s="19"/>
    </row>
    <row r="28" spans="2:14" ht="13.5" customHeight="1" x14ac:dyDescent="0.25">
      <c r="B28" s="5"/>
      <c r="C28" s="6"/>
      <c r="D28" s="6"/>
      <c r="E28" s="20"/>
      <c r="F28" s="21"/>
      <c r="G28" s="6"/>
      <c r="H28" s="10"/>
      <c r="I28" s="10"/>
      <c r="J28" s="6"/>
      <c r="K28" s="7"/>
      <c r="N28" s="19"/>
    </row>
    <row r="29" spans="2:14" ht="20.25" customHeight="1" x14ac:dyDescent="0.25">
      <c r="B29" s="5"/>
      <c r="C29" s="8" t="s">
        <v>14</v>
      </c>
      <c r="D29" s="6"/>
      <c r="E29" s="6"/>
      <c r="F29" s="6"/>
      <c r="G29" s="6"/>
      <c r="H29" s="6"/>
      <c r="I29" s="6"/>
      <c r="J29" s="6"/>
      <c r="K29" s="7"/>
    </row>
    <row r="30" spans="2:14" ht="12.75" customHeight="1" x14ac:dyDescent="0.25">
      <c r="B30" s="5"/>
      <c r="C30" s="8"/>
      <c r="D30" s="6"/>
      <c r="E30" s="6"/>
      <c r="F30" s="6"/>
      <c r="G30" s="6"/>
      <c r="H30" s="6"/>
      <c r="I30" s="6"/>
      <c r="J30" s="6"/>
      <c r="K30" s="7"/>
    </row>
    <row r="31" spans="2:14" ht="20.100000000000001" customHeight="1" x14ac:dyDescent="0.25">
      <c r="B31" s="5"/>
      <c r="C31" s="709" t="s">
        <v>19</v>
      </c>
      <c r="D31" s="710"/>
      <c r="E31" s="710"/>
      <c r="F31" s="710"/>
      <c r="G31" s="710"/>
      <c r="H31" s="710"/>
      <c r="I31" s="710"/>
      <c r="J31" s="710"/>
      <c r="K31" s="711"/>
    </row>
    <row r="32" spans="2:14" ht="36" customHeight="1" x14ac:dyDescent="0.25">
      <c r="B32" s="5"/>
      <c r="C32" s="710"/>
      <c r="D32" s="710"/>
      <c r="E32" s="710"/>
      <c r="F32" s="710"/>
      <c r="G32" s="710"/>
      <c r="H32" s="710"/>
      <c r="I32" s="710"/>
      <c r="J32" s="710"/>
      <c r="K32" s="711"/>
    </row>
    <row r="33" spans="2:11" ht="48.75" customHeight="1" x14ac:dyDescent="0.25">
      <c r="B33" s="5"/>
      <c r="C33" s="1"/>
      <c r="D33" s="1"/>
      <c r="E33" s="1"/>
      <c r="F33" s="6"/>
      <c r="G33" s="1"/>
      <c r="H33" s="1"/>
      <c r="I33" s="6"/>
      <c r="J33" s="6"/>
      <c r="K33" s="7"/>
    </row>
    <row r="34" spans="2:11" x14ac:dyDescent="0.25">
      <c r="B34" s="5"/>
      <c r="C34" s="704" t="s">
        <v>16</v>
      </c>
      <c r="D34" s="704"/>
      <c r="E34" s="704"/>
      <c r="F34" s="6"/>
      <c r="G34" s="15" t="s">
        <v>9</v>
      </c>
      <c r="H34" s="14">
        <f>+E9</f>
        <v>0</v>
      </c>
      <c r="I34" s="18"/>
      <c r="J34" s="18"/>
      <c r="K34" s="7"/>
    </row>
    <row r="35" spans="2:11" x14ac:dyDescent="0.25">
      <c r="B35" s="5"/>
      <c r="C35" s="25"/>
      <c r="D35" s="25"/>
      <c r="E35" s="25"/>
      <c r="F35" s="6"/>
      <c r="G35" s="26"/>
      <c r="H35" s="18"/>
      <c r="I35" s="18"/>
      <c r="J35" s="18"/>
      <c r="K35" s="7"/>
    </row>
    <row r="36" spans="2:11" x14ac:dyDescent="0.25">
      <c r="B36" s="5"/>
      <c r="C36" s="8" t="s">
        <v>17</v>
      </c>
      <c r="D36" s="698"/>
      <c r="E36" s="698"/>
      <c r="F36" s="6"/>
      <c r="G36" s="8" t="s">
        <v>17</v>
      </c>
      <c r="H36" s="27"/>
      <c r="I36" s="18"/>
      <c r="J36" s="18"/>
      <c r="K36" s="7"/>
    </row>
    <row r="37" spans="2:11" ht="15.75" thickBot="1" x14ac:dyDescent="0.3">
      <c r="B37" s="11"/>
      <c r="C37" s="12"/>
      <c r="D37" s="12"/>
      <c r="E37" s="12"/>
      <c r="F37" s="12"/>
      <c r="G37" s="12"/>
      <c r="H37" s="12"/>
      <c r="I37" s="12"/>
      <c r="J37" s="12"/>
      <c r="K37" s="13"/>
    </row>
  </sheetData>
  <mergeCells count="13">
    <mergeCell ref="D36:E36"/>
    <mergeCell ref="C14:J19"/>
    <mergeCell ref="C5:J5"/>
    <mergeCell ref="C4:J4"/>
    <mergeCell ref="C20:H20"/>
    <mergeCell ref="C34:E34"/>
    <mergeCell ref="E23:F23"/>
    <mergeCell ref="E24:F24"/>
    <mergeCell ref="E26:F26"/>
    <mergeCell ref="E22:F22"/>
    <mergeCell ref="E25:F25"/>
    <mergeCell ref="E27:F27"/>
    <mergeCell ref="C31:K32"/>
  </mergeCells>
  <printOptions horizontalCentered="1" verticalCentered="1"/>
  <pageMargins left="0.23622047244094491" right="0.23622047244094491" top="0" bottom="0" header="0.31496062992125984" footer="0.31496062992125984"/>
  <pageSetup scale="84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L41"/>
  <sheetViews>
    <sheetView showGridLines="0" view="pageBreakPreview" zoomScaleNormal="100" zoomScaleSheetLayoutView="100" workbookViewId="0">
      <selection activeCell="H11" sqref="H11"/>
    </sheetView>
  </sheetViews>
  <sheetFormatPr baseColWidth="10" defaultColWidth="13.85546875" defaultRowHeight="12.75" x14ac:dyDescent="0.2"/>
  <cols>
    <col min="1" max="1" width="3.140625" style="113" customWidth="1"/>
    <col min="2" max="2" width="16.28515625" style="105" customWidth="1"/>
    <col min="3" max="3" width="2.140625" style="105" customWidth="1"/>
    <col min="4" max="4" width="8.140625" style="113" bestFit="1" customWidth="1"/>
    <col min="5" max="5" width="32.85546875" style="113" customWidth="1"/>
    <col min="6" max="6" width="9.42578125" style="113" customWidth="1"/>
    <col min="7" max="7" width="17.5703125" style="113" customWidth="1"/>
    <col min="8" max="8" width="16.28515625" style="113" customWidth="1"/>
    <col min="9" max="9" width="18.140625" style="113" customWidth="1"/>
    <col min="10" max="10" width="3.7109375" style="105" customWidth="1"/>
    <col min="11" max="11" width="13.85546875" style="105"/>
    <col min="12" max="12" width="18.140625" style="113" customWidth="1"/>
    <col min="13" max="234" width="13.85546875" style="113"/>
    <col min="235" max="236" width="3.140625" style="113" customWidth="1"/>
    <col min="237" max="237" width="8.5703125" style="113" customWidth="1"/>
    <col min="238" max="238" width="10" style="113" customWidth="1"/>
    <col min="239" max="239" width="69.42578125" style="113" customWidth="1"/>
    <col min="240" max="240" width="10.42578125" style="113" customWidth="1"/>
    <col min="241" max="241" width="8.28515625" style="113" bestFit="1" customWidth="1"/>
    <col min="242" max="242" width="14.85546875" style="113" bestFit="1" customWidth="1"/>
    <col min="243" max="243" width="14.42578125" style="113" customWidth="1"/>
    <col min="244" max="244" width="12.28515625" style="113" customWidth="1"/>
    <col min="245" max="245" width="14.85546875" style="113" customWidth="1"/>
    <col min="246" max="246" width="12.85546875" style="113" customWidth="1"/>
    <col min="247" max="247" width="14.85546875" style="113" customWidth="1"/>
    <col min="248" max="248" width="11.7109375" style="113" customWidth="1"/>
    <col min="249" max="249" width="14.28515625" style="113" customWidth="1"/>
    <col min="250" max="251" width="3.140625" style="113" customWidth="1"/>
    <col min="252" max="490" width="13.85546875" style="113"/>
    <col min="491" max="492" width="3.140625" style="113" customWidth="1"/>
    <col min="493" max="493" width="8.5703125" style="113" customWidth="1"/>
    <col min="494" max="494" width="10" style="113" customWidth="1"/>
    <col min="495" max="495" width="69.42578125" style="113" customWidth="1"/>
    <col min="496" max="496" width="10.42578125" style="113" customWidth="1"/>
    <col min="497" max="497" width="8.28515625" style="113" bestFit="1" customWidth="1"/>
    <col min="498" max="498" width="14.85546875" style="113" bestFit="1" customWidth="1"/>
    <col min="499" max="499" width="14.42578125" style="113" customWidth="1"/>
    <col min="500" max="500" width="12.28515625" style="113" customWidth="1"/>
    <col min="501" max="501" width="14.85546875" style="113" customWidth="1"/>
    <col min="502" max="502" width="12.85546875" style="113" customWidth="1"/>
    <col min="503" max="503" width="14.85546875" style="113" customWidth="1"/>
    <col min="504" max="504" width="11.7109375" style="113" customWidth="1"/>
    <col min="505" max="505" width="14.28515625" style="113" customWidth="1"/>
    <col min="506" max="507" width="3.140625" style="113" customWidth="1"/>
    <col min="508" max="746" width="13.85546875" style="113"/>
    <col min="747" max="748" width="3.140625" style="113" customWidth="1"/>
    <col min="749" max="749" width="8.5703125" style="113" customWidth="1"/>
    <col min="750" max="750" width="10" style="113" customWidth="1"/>
    <col min="751" max="751" width="69.42578125" style="113" customWidth="1"/>
    <col min="752" max="752" width="10.42578125" style="113" customWidth="1"/>
    <col min="753" max="753" width="8.28515625" style="113" bestFit="1" customWidth="1"/>
    <col min="754" max="754" width="14.85546875" style="113" bestFit="1" customWidth="1"/>
    <col min="755" max="755" width="14.42578125" style="113" customWidth="1"/>
    <col min="756" max="756" width="12.28515625" style="113" customWidth="1"/>
    <col min="757" max="757" width="14.85546875" style="113" customWidth="1"/>
    <col min="758" max="758" width="12.85546875" style="113" customWidth="1"/>
    <col min="759" max="759" width="14.85546875" style="113" customWidth="1"/>
    <col min="760" max="760" width="11.7109375" style="113" customWidth="1"/>
    <col min="761" max="761" width="14.28515625" style="113" customWidth="1"/>
    <col min="762" max="763" width="3.140625" style="113" customWidth="1"/>
    <col min="764" max="1002" width="13.85546875" style="113"/>
    <col min="1003" max="1004" width="3.140625" style="113" customWidth="1"/>
    <col min="1005" max="1005" width="8.5703125" style="113" customWidth="1"/>
    <col min="1006" max="1006" width="10" style="113" customWidth="1"/>
    <col min="1007" max="1007" width="69.42578125" style="113" customWidth="1"/>
    <col min="1008" max="1008" width="10.42578125" style="113" customWidth="1"/>
    <col min="1009" max="1009" width="8.28515625" style="113" bestFit="1" customWidth="1"/>
    <col min="1010" max="1010" width="14.85546875" style="113" bestFit="1" customWidth="1"/>
    <col min="1011" max="1011" width="14.42578125" style="113" customWidth="1"/>
    <col min="1012" max="1012" width="12.28515625" style="113" customWidth="1"/>
    <col min="1013" max="1013" width="14.85546875" style="113" customWidth="1"/>
    <col min="1014" max="1014" width="12.85546875" style="113" customWidth="1"/>
    <col min="1015" max="1015" width="14.85546875" style="113" customWidth="1"/>
    <col min="1016" max="1016" width="11.7109375" style="113" customWidth="1"/>
    <col min="1017" max="1017" width="14.28515625" style="113" customWidth="1"/>
    <col min="1018" max="1019" width="3.140625" style="113" customWidth="1"/>
    <col min="1020" max="1258" width="13.85546875" style="113"/>
    <col min="1259" max="1260" width="3.140625" style="113" customWidth="1"/>
    <col min="1261" max="1261" width="8.5703125" style="113" customWidth="1"/>
    <col min="1262" max="1262" width="10" style="113" customWidth="1"/>
    <col min="1263" max="1263" width="69.42578125" style="113" customWidth="1"/>
    <col min="1264" max="1264" width="10.42578125" style="113" customWidth="1"/>
    <col min="1265" max="1265" width="8.28515625" style="113" bestFit="1" customWidth="1"/>
    <col min="1266" max="1266" width="14.85546875" style="113" bestFit="1" customWidth="1"/>
    <col min="1267" max="1267" width="14.42578125" style="113" customWidth="1"/>
    <col min="1268" max="1268" width="12.28515625" style="113" customWidth="1"/>
    <col min="1269" max="1269" width="14.85546875" style="113" customWidth="1"/>
    <col min="1270" max="1270" width="12.85546875" style="113" customWidth="1"/>
    <col min="1271" max="1271" width="14.85546875" style="113" customWidth="1"/>
    <col min="1272" max="1272" width="11.7109375" style="113" customWidth="1"/>
    <col min="1273" max="1273" width="14.28515625" style="113" customWidth="1"/>
    <col min="1274" max="1275" width="3.140625" style="113" customWidth="1"/>
    <col min="1276" max="1514" width="13.85546875" style="113"/>
    <col min="1515" max="1516" width="3.140625" style="113" customWidth="1"/>
    <col min="1517" max="1517" width="8.5703125" style="113" customWidth="1"/>
    <col min="1518" max="1518" width="10" style="113" customWidth="1"/>
    <col min="1519" max="1519" width="69.42578125" style="113" customWidth="1"/>
    <col min="1520" max="1520" width="10.42578125" style="113" customWidth="1"/>
    <col min="1521" max="1521" width="8.28515625" style="113" bestFit="1" customWidth="1"/>
    <col min="1522" max="1522" width="14.85546875" style="113" bestFit="1" customWidth="1"/>
    <col min="1523" max="1523" width="14.42578125" style="113" customWidth="1"/>
    <col min="1524" max="1524" width="12.28515625" style="113" customWidth="1"/>
    <col min="1525" max="1525" width="14.85546875" style="113" customWidth="1"/>
    <col min="1526" max="1526" width="12.85546875" style="113" customWidth="1"/>
    <col min="1527" max="1527" width="14.85546875" style="113" customWidth="1"/>
    <col min="1528" max="1528" width="11.7109375" style="113" customWidth="1"/>
    <col min="1529" max="1529" width="14.28515625" style="113" customWidth="1"/>
    <col min="1530" max="1531" width="3.140625" style="113" customWidth="1"/>
    <col min="1532" max="1770" width="13.85546875" style="113"/>
    <col min="1771" max="1772" width="3.140625" style="113" customWidth="1"/>
    <col min="1773" max="1773" width="8.5703125" style="113" customWidth="1"/>
    <col min="1774" max="1774" width="10" style="113" customWidth="1"/>
    <col min="1775" max="1775" width="69.42578125" style="113" customWidth="1"/>
    <col min="1776" max="1776" width="10.42578125" style="113" customWidth="1"/>
    <col min="1777" max="1777" width="8.28515625" style="113" bestFit="1" customWidth="1"/>
    <col min="1778" max="1778" width="14.85546875" style="113" bestFit="1" customWidth="1"/>
    <col min="1779" max="1779" width="14.42578125" style="113" customWidth="1"/>
    <col min="1780" max="1780" width="12.28515625" style="113" customWidth="1"/>
    <col min="1781" max="1781" width="14.85546875" style="113" customWidth="1"/>
    <col min="1782" max="1782" width="12.85546875" style="113" customWidth="1"/>
    <col min="1783" max="1783" width="14.85546875" style="113" customWidth="1"/>
    <col min="1784" max="1784" width="11.7109375" style="113" customWidth="1"/>
    <col min="1785" max="1785" width="14.28515625" style="113" customWidth="1"/>
    <col min="1786" max="1787" width="3.140625" style="113" customWidth="1"/>
    <col min="1788" max="2026" width="13.85546875" style="113"/>
    <col min="2027" max="2028" width="3.140625" style="113" customWidth="1"/>
    <col min="2029" max="2029" width="8.5703125" style="113" customWidth="1"/>
    <col min="2030" max="2030" width="10" style="113" customWidth="1"/>
    <col min="2031" max="2031" width="69.42578125" style="113" customWidth="1"/>
    <col min="2032" max="2032" width="10.42578125" style="113" customWidth="1"/>
    <col min="2033" max="2033" width="8.28515625" style="113" bestFit="1" customWidth="1"/>
    <col min="2034" max="2034" width="14.85546875" style="113" bestFit="1" customWidth="1"/>
    <col min="2035" max="2035" width="14.42578125" style="113" customWidth="1"/>
    <col min="2036" max="2036" width="12.28515625" style="113" customWidth="1"/>
    <col min="2037" max="2037" width="14.85546875" style="113" customWidth="1"/>
    <col min="2038" max="2038" width="12.85546875" style="113" customWidth="1"/>
    <col min="2039" max="2039" width="14.85546875" style="113" customWidth="1"/>
    <col min="2040" max="2040" width="11.7109375" style="113" customWidth="1"/>
    <col min="2041" max="2041" width="14.28515625" style="113" customWidth="1"/>
    <col min="2042" max="2043" width="3.140625" style="113" customWidth="1"/>
    <col min="2044" max="2282" width="13.85546875" style="113"/>
    <col min="2283" max="2284" width="3.140625" style="113" customWidth="1"/>
    <col min="2285" max="2285" width="8.5703125" style="113" customWidth="1"/>
    <col min="2286" max="2286" width="10" style="113" customWidth="1"/>
    <col min="2287" max="2287" width="69.42578125" style="113" customWidth="1"/>
    <col min="2288" max="2288" width="10.42578125" style="113" customWidth="1"/>
    <col min="2289" max="2289" width="8.28515625" style="113" bestFit="1" customWidth="1"/>
    <col min="2290" max="2290" width="14.85546875" style="113" bestFit="1" customWidth="1"/>
    <col min="2291" max="2291" width="14.42578125" style="113" customWidth="1"/>
    <col min="2292" max="2292" width="12.28515625" style="113" customWidth="1"/>
    <col min="2293" max="2293" width="14.85546875" style="113" customWidth="1"/>
    <col min="2294" max="2294" width="12.85546875" style="113" customWidth="1"/>
    <col min="2295" max="2295" width="14.85546875" style="113" customWidth="1"/>
    <col min="2296" max="2296" width="11.7109375" style="113" customWidth="1"/>
    <col min="2297" max="2297" width="14.28515625" style="113" customWidth="1"/>
    <col min="2298" max="2299" width="3.140625" style="113" customWidth="1"/>
    <col min="2300" max="2538" width="13.85546875" style="113"/>
    <col min="2539" max="2540" width="3.140625" style="113" customWidth="1"/>
    <col min="2541" max="2541" width="8.5703125" style="113" customWidth="1"/>
    <col min="2542" max="2542" width="10" style="113" customWidth="1"/>
    <col min="2543" max="2543" width="69.42578125" style="113" customWidth="1"/>
    <col min="2544" max="2544" width="10.42578125" style="113" customWidth="1"/>
    <col min="2545" max="2545" width="8.28515625" style="113" bestFit="1" customWidth="1"/>
    <col min="2546" max="2546" width="14.85546875" style="113" bestFit="1" customWidth="1"/>
    <col min="2547" max="2547" width="14.42578125" style="113" customWidth="1"/>
    <col min="2548" max="2548" width="12.28515625" style="113" customWidth="1"/>
    <col min="2549" max="2549" width="14.85546875" style="113" customWidth="1"/>
    <col min="2550" max="2550" width="12.85546875" style="113" customWidth="1"/>
    <col min="2551" max="2551" width="14.85546875" style="113" customWidth="1"/>
    <col min="2552" max="2552" width="11.7109375" style="113" customWidth="1"/>
    <col min="2553" max="2553" width="14.28515625" style="113" customWidth="1"/>
    <col min="2554" max="2555" width="3.140625" style="113" customWidth="1"/>
    <col min="2556" max="2794" width="13.85546875" style="113"/>
    <col min="2795" max="2796" width="3.140625" style="113" customWidth="1"/>
    <col min="2797" max="2797" width="8.5703125" style="113" customWidth="1"/>
    <col min="2798" max="2798" width="10" style="113" customWidth="1"/>
    <col min="2799" max="2799" width="69.42578125" style="113" customWidth="1"/>
    <col min="2800" max="2800" width="10.42578125" style="113" customWidth="1"/>
    <col min="2801" max="2801" width="8.28515625" style="113" bestFit="1" customWidth="1"/>
    <col min="2802" max="2802" width="14.85546875" style="113" bestFit="1" customWidth="1"/>
    <col min="2803" max="2803" width="14.42578125" style="113" customWidth="1"/>
    <col min="2804" max="2804" width="12.28515625" style="113" customWidth="1"/>
    <col min="2805" max="2805" width="14.85546875" style="113" customWidth="1"/>
    <col min="2806" max="2806" width="12.85546875" style="113" customWidth="1"/>
    <col min="2807" max="2807" width="14.85546875" style="113" customWidth="1"/>
    <col min="2808" max="2808" width="11.7109375" style="113" customWidth="1"/>
    <col min="2809" max="2809" width="14.28515625" style="113" customWidth="1"/>
    <col min="2810" max="2811" width="3.140625" style="113" customWidth="1"/>
    <col min="2812" max="3050" width="13.85546875" style="113"/>
    <col min="3051" max="3052" width="3.140625" style="113" customWidth="1"/>
    <col min="3053" max="3053" width="8.5703125" style="113" customWidth="1"/>
    <col min="3054" max="3054" width="10" style="113" customWidth="1"/>
    <col min="3055" max="3055" width="69.42578125" style="113" customWidth="1"/>
    <col min="3056" max="3056" width="10.42578125" style="113" customWidth="1"/>
    <col min="3057" max="3057" width="8.28515625" style="113" bestFit="1" customWidth="1"/>
    <col min="3058" max="3058" width="14.85546875" style="113" bestFit="1" customWidth="1"/>
    <col min="3059" max="3059" width="14.42578125" style="113" customWidth="1"/>
    <col min="3060" max="3060" width="12.28515625" style="113" customWidth="1"/>
    <col min="3061" max="3061" width="14.85546875" style="113" customWidth="1"/>
    <col min="3062" max="3062" width="12.85546875" style="113" customWidth="1"/>
    <col min="3063" max="3063" width="14.85546875" style="113" customWidth="1"/>
    <col min="3064" max="3064" width="11.7109375" style="113" customWidth="1"/>
    <col min="3065" max="3065" width="14.28515625" style="113" customWidth="1"/>
    <col min="3066" max="3067" width="3.140625" style="113" customWidth="1"/>
    <col min="3068" max="3306" width="13.85546875" style="113"/>
    <col min="3307" max="3308" width="3.140625" style="113" customWidth="1"/>
    <col min="3309" max="3309" width="8.5703125" style="113" customWidth="1"/>
    <col min="3310" max="3310" width="10" style="113" customWidth="1"/>
    <col min="3311" max="3311" width="69.42578125" style="113" customWidth="1"/>
    <col min="3312" max="3312" width="10.42578125" style="113" customWidth="1"/>
    <col min="3313" max="3313" width="8.28515625" style="113" bestFit="1" customWidth="1"/>
    <col min="3314" max="3314" width="14.85546875" style="113" bestFit="1" customWidth="1"/>
    <col min="3315" max="3315" width="14.42578125" style="113" customWidth="1"/>
    <col min="3316" max="3316" width="12.28515625" style="113" customWidth="1"/>
    <col min="3317" max="3317" width="14.85546875" style="113" customWidth="1"/>
    <col min="3318" max="3318" width="12.85546875" style="113" customWidth="1"/>
    <col min="3319" max="3319" width="14.85546875" style="113" customWidth="1"/>
    <col min="3320" max="3320" width="11.7109375" style="113" customWidth="1"/>
    <col min="3321" max="3321" width="14.28515625" style="113" customWidth="1"/>
    <col min="3322" max="3323" width="3.140625" style="113" customWidth="1"/>
    <col min="3324" max="3562" width="13.85546875" style="113"/>
    <col min="3563" max="3564" width="3.140625" style="113" customWidth="1"/>
    <col min="3565" max="3565" width="8.5703125" style="113" customWidth="1"/>
    <col min="3566" max="3566" width="10" style="113" customWidth="1"/>
    <col min="3567" max="3567" width="69.42578125" style="113" customWidth="1"/>
    <col min="3568" max="3568" width="10.42578125" style="113" customWidth="1"/>
    <col min="3569" max="3569" width="8.28515625" style="113" bestFit="1" customWidth="1"/>
    <col min="3570" max="3570" width="14.85546875" style="113" bestFit="1" customWidth="1"/>
    <col min="3571" max="3571" width="14.42578125" style="113" customWidth="1"/>
    <col min="3572" max="3572" width="12.28515625" style="113" customWidth="1"/>
    <col min="3573" max="3573" width="14.85546875" style="113" customWidth="1"/>
    <col min="3574" max="3574" width="12.85546875" style="113" customWidth="1"/>
    <col min="3575" max="3575" width="14.85546875" style="113" customWidth="1"/>
    <col min="3576" max="3576" width="11.7109375" style="113" customWidth="1"/>
    <col min="3577" max="3577" width="14.28515625" style="113" customWidth="1"/>
    <col min="3578" max="3579" width="3.140625" style="113" customWidth="1"/>
    <col min="3580" max="3818" width="13.85546875" style="113"/>
    <col min="3819" max="3820" width="3.140625" style="113" customWidth="1"/>
    <col min="3821" max="3821" width="8.5703125" style="113" customWidth="1"/>
    <col min="3822" max="3822" width="10" style="113" customWidth="1"/>
    <col min="3823" max="3823" width="69.42578125" style="113" customWidth="1"/>
    <col min="3824" max="3824" width="10.42578125" style="113" customWidth="1"/>
    <col min="3825" max="3825" width="8.28515625" style="113" bestFit="1" customWidth="1"/>
    <col min="3826" max="3826" width="14.85546875" style="113" bestFit="1" customWidth="1"/>
    <col min="3827" max="3827" width="14.42578125" style="113" customWidth="1"/>
    <col min="3828" max="3828" width="12.28515625" style="113" customWidth="1"/>
    <col min="3829" max="3829" width="14.85546875" style="113" customWidth="1"/>
    <col min="3830" max="3830" width="12.85546875" style="113" customWidth="1"/>
    <col min="3831" max="3831" width="14.85546875" style="113" customWidth="1"/>
    <col min="3832" max="3832" width="11.7109375" style="113" customWidth="1"/>
    <col min="3833" max="3833" width="14.28515625" style="113" customWidth="1"/>
    <col min="3834" max="3835" width="3.140625" style="113" customWidth="1"/>
    <col min="3836" max="4074" width="13.85546875" style="113"/>
    <col min="4075" max="4076" width="3.140625" style="113" customWidth="1"/>
    <col min="4077" max="4077" width="8.5703125" style="113" customWidth="1"/>
    <col min="4078" max="4078" width="10" style="113" customWidth="1"/>
    <col min="4079" max="4079" width="69.42578125" style="113" customWidth="1"/>
    <col min="4080" max="4080" width="10.42578125" style="113" customWidth="1"/>
    <col min="4081" max="4081" width="8.28515625" style="113" bestFit="1" customWidth="1"/>
    <col min="4082" max="4082" width="14.85546875" style="113" bestFit="1" customWidth="1"/>
    <col min="4083" max="4083" width="14.42578125" style="113" customWidth="1"/>
    <col min="4084" max="4084" width="12.28515625" style="113" customWidth="1"/>
    <col min="4085" max="4085" width="14.85546875" style="113" customWidth="1"/>
    <col min="4086" max="4086" width="12.85546875" style="113" customWidth="1"/>
    <col min="4087" max="4087" width="14.85546875" style="113" customWidth="1"/>
    <col min="4088" max="4088" width="11.7109375" style="113" customWidth="1"/>
    <col min="4089" max="4089" width="14.28515625" style="113" customWidth="1"/>
    <col min="4090" max="4091" width="3.140625" style="113" customWidth="1"/>
    <col min="4092" max="4330" width="13.85546875" style="113"/>
    <col min="4331" max="4332" width="3.140625" style="113" customWidth="1"/>
    <col min="4333" max="4333" width="8.5703125" style="113" customWidth="1"/>
    <col min="4334" max="4334" width="10" style="113" customWidth="1"/>
    <col min="4335" max="4335" width="69.42578125" style="113" customWidth="1"/>
    <col min="4336" max="4336" width="10.42578125" style="113" customWidth="1"/>
    <col min="4337" max="4337" width="8.28515625" style="113" bestFit="1" customWidth="1"/>
    <col min="4338" max="4338" width="14.85546875" style="113" bestFit="1" customWidth="1"/>
    <col min="4339" max="4339" width="14.42578125" style="113" customWidth="1"/>
    <col min="4340" max="4340" width="12.28515625" style="113" customWidth="1"/>
    <col min="4341" max="4341" width="14.85546875" style="113" customWidth="1"/>
    <col min="4342" max="4342" width="12.85546875" style="113" customWidth="1"/>
    <col min="4343" max="4343" width="14.85546875" style="113" customWidth="1"/>
    <col min="4344" max="4344" width="11.7109375" style="113" customWidth="1"/>
    <col min="4345" max="4345" width="14.28515625" style="113" customWidth="1"/>
    <col min="4346" max="4347" width="3.140625" style="113" customWidth="1"/>
    <col min="4348" max="4586" width="13.85546875" style="113"/>
    <col min="4587" max="4588" width="3.140625" style="113" customWidth="1"/>
    <col min="4589" max="4589" width="8.5703125" style="113" customWidth="1"/>
    <col min="4590" max="4590" width="10" style="113" customWidth="1"/>
    <col min="4591" max="4591" width="69.42578125" style="113" customWidth="1"/>
    <col min="4592" max="4592" width="10.42578125" style="113" customWidth="1"/>
    <col min="4593" max="4593" width="8.28515625" style="113" bestFit="1" customWidth="1"/>
    <col min="4594" max="4594" width="14.85546875" style="113" bestFit="1" customWidth="1"/>
    <col min="4595" max="4595" width="14.42578125" style="113" customWidth="1"/>
    <col min="4596" max="4596" width="12.28515625" style="113" customWidth="1"/>
    <col min="4597" max="4597" width="14.85546875" style="113" customWidth="1"/>
    <col min="4598" max="4598" width="12.85546875" style="113" customWidth="1"/>
    <col min="4599" max="4599" width="14.85546875" style="113" customWidth="1"/>
    <col min="4600" max="4600" width="11.7109375" style="113" customWidth="1"/>
    <col min="4601" max="4601" width="14.28515625" style="113" customWidth="1"/>
    <col min="4602" max="4603" width="3.140625" style="113" customWidth="1"/>
    <col min="4604" max="4842" width="13.85546875" style="113"/>
    <col min="4843" max="4844" width="3.140625" style="113" customWidth="1"/>
    <col min="4845" max="4845" width="8.5703125" style="113" customWidth="1"/>
    <col min="4846" max="4846" width="10" style="113" customWidth="1"/>
    <col min="4847" max="4847" width="69.42578125" style="113" customWidth="1"/>
    <col min="4848" max="4848" width="10.42578125" style="113" customWidth="1"/>
    <col min="4849" max="4849" width="8.28515625" style="113" bestFit="1" customWidth="1"/>
    <col min="4850" max="4850" width="14.85546875" style="113" bestFit="1" customWidth="1"/>
    <col min="4851" max="4851" width="14.42578125" style="113" customWidth="1"/>
    <col min="4852" max="4852" width="12.28515625" style="113" customWidth="1"/>
    <col min="4853" max="4853" width="14.85546875" style="113" customWidth="1"/>
    <col min="4854" max="4854" width="12.85546875" style="113" customWidth="1"/>
    <col min="4855" max="4855" width="14.85546875" style="113" customWidth="1"/>
    <col min="4856" max="4856" width="11.7109375" style="113" customWidth="1"/>
    <col min="4857" max="4857" width="14.28515625" style="113" customWidth="1"/>
    <col min="4858" max="4859" width="3.140625" style="113" customWidth="1"/>
    <col min="4860" max="5098" width="13.85546875" style="113"/>
    <col min="5099" max="5100" width="3.140625" style="113" customWidth="1"/>
    <col min="5101" max="5101" width="8.5703125" style="113" customWidth="1"/>
    <col min="5102" max="5102" width="10" style="113" customWidth="1"/>
    <col min="5103" max="5103" width="69.42578125" style="113" customWidth="1"/>
    <col min="5104" max="5104" width="10.42578125" style="113" customWidth="1"/>
    <col min="5105" max="5105" width="8.28515625" style="113" bestFit="1" customWidth="1"/>
    <col min="5106" max="5106" width="14.85546875" style="113" bestFit="1" customWidth="1"/>
    <col min="5107" max="5107" width="14.42578125" style="113" customWidth="1"/>
    <col min="5108" max="5108" width="12.28515625" style="113" customWidth="1"/>
    <col min="5109" max="5109" width="14.85546875" style="113" customWidth="1"/>
    <col min="5110" max="5110" width="12.85546875" style="113" customWidth="1"/>
    <col min="5111" max="5111" width="14.85546875" style="113" customWidth="1"/>
    <col min="5112" max="5112" width="11.7109375" style="113" customWidth="1"/>
    <col min="5113" max="5113" width="14.28515625" style="113" customWidth="1"/>
    <col min="5114" max="5115" width="3.140625" style="113" customWidth="1"/>
    <col min="5116" max="5354" width="13.85546875" style="113"/>
    <col min="5355" max="5356" width="3.140625" style="113" customWidth="1"/>
    <col min="5357" max="5357" width="8.5703125" style="113" customWidth="1"/>
    <col min="5358" max="5358" width="10" style="113" customWidth="1"/>
    <col min="5359" max="5359" width="69.42578125" style="113" customWidth="1"/>
    <col min="5360" max="5360" width="10.42578125" style="113" customWidth="1"/>
    <col min="5361" max="5361" width="8.28515625" style="113" bestFit="1" customWidth="1"/>
    <col min="5362" max="5362" width="14.85546875" style="113" bestFit="1" customWidth="1"/>
    <col min="5363" max="5363" width="14.42578125" style="113" customWidth="1"/>
    <col min="5364" max="5364" width="12.28515625" style="113" customWidth="1"/>
    <col min="5365" max="5365" width="14.85546875" style="113" customWidth="1"/>
    <col min="5366" max="5366" width="12.85546875" style="113" customWidth="1"/>
    <col min="5367" max="5367" width="14.85546875" style="113" customWidth="1"/>
    <col min="5368" max="5368" width="11.7109375" style="113" customWidth="1"/>
    <col min="5369" max="5369" width="14.28515625" style="113" customWidth="1"/>
    <col min="5370" max="5371" width="3.140625" style="113" customWidth="1"/>
    <col min="5372" max="5610" width="13.85546875" style="113"/>
    <col min="5611" max="5612" width="3.140625" style="113" customWidth="1"/>
    <col min="5613" max="5613" width="8.5703125" style="113" customWidth="1"/>
    <col min="5614" max="5614" width="10" style="113" customWidth="1"/>
    <col min="5615" max="5615" width="69.42578125" style="113" customWidth="1"/>
    <col min="5616" max="5616" width="10.42578125" style="113" customWidth="1"/>
    <col min="5617" max="5617" width="8.28515625" style="113" bestFit="1" customWidth="1"/>
    <col min="5618" max="5618" width="14.85546875" style="113" bestFit="1" customWidth="1"/>
    <col min="5619" max="5619" width="14.42578125" style="113" customWidth="1"/>
    <col min="5620" max="5620" width="12.28515625" style="113" customWidth="1"/>
    <col min="5621" max="5621" width="14.85546875" style="113" customWidth="1"/>
    <col min="5622" max="5622" width="12.85546875" style="113" customWidth="1"/>
    <col min="5623" max="5623" width="14.85546875" style="113" customWidth="1"/>
    <col min="5624" max="5624" width="11.7109375" style="113" customWidth="1"/>
    <col min="5625" max="5625" width="14.28515625" style="113" customWidth="1"/>
    <col min="5626" max="5627" width="3.140625" style="113" customWidth="1"/>
    <col min="5628" max="5866" width="13.85546875" style="113"/>
    <col min="5867" max="5868" width="3.140625" style="113" customWidth="1"/>
    <col min="5869" max="5869" width="8.5703125" style="113" customWidth="1"/>
    <col min="5870" max="5870" width="10" style="113" customWidth="1"/>
    <col min="5871" max="5871" width="69.42578125" style="113" customWidth="1"/>
    <col min="5872" max="5872" width="10.42578125" style="113" customWidth="1"/>
    <col min="5873" max="5873" width="8.28515625" style="113" bestFit="1" customWidth="1"/>
    <col min="5874" max="5874" width="14.85546875" style="113" bestFit="1" customWidth="1"/>
    <col min="5875" max="5875" width="14.42578125" style="113" customWidth="1"/>
    <col min="5876" max="5876" width="12.28515625" style="113" customWidth="1"/>
    <col min="5877" max="5877" width="14.85546875" style="113" customWidth="1"/>
    <col min="5878" max="5878" width="12.85546875" style="113" customWidth="1"/>
    <col min="5879" max="5879" width="14.85546875" style="113" customWidth="1"/>
    <col min="5880" max="5880" width="11.7109375" style="113" customWidth="1"/>
    <col min="5881" max="5881" width="14.28515625" style="113" customWidth="1"/>
    <col min="5882" max="5883" width="3.140625" style="113" customWidth="1"/>
    <col min="5884" max="6122" width="13.85546875" style="113"/>
    <col min="6123" max="6124" width="3.140625" style="113" customWidth="1"/>
    <col min="6125" max="6125" width="8.5703125" style="113" customWidth="1"/>
    <col min="6126" max="6126" width="10" style="113" customWidth="1"/>
    <col min="6127" max="6127" width="69.42578125" style="113" customWidth="1"/>
    <col min="6128" max="6128" width="10.42578125" style="113" customWidth="1"/>
    <col min="6129" max="6129" width="8.28515625" style="113" bestFit="1" customWidth="1"/>
    <col min="6130" max="6130" width="14.85546875" style="113" bestFit="1" customWidth="1"/>
    <col min="6131" max="6131" width="14.42578125" style="113" customWidth="1"/>
    <col min="6132" max="6132" width="12.28515625" style="113" customWidth="1"/>
    <col min="6133" max="6133" width="14.85546875" style="113" customWidth="1"/>
    <col min="6134" max="6134" width="12.85546875" style="113" customWidth="1"/>
    <col min="6135" max="6135" width="14.85546875" style="113" customWidth="1"/>
    <col min="6136" max="6136" width="11.7109375" style="113" customWidth="1"/>
    <col min="6137" max="6137" width="14.28515625" style="113" customWidth="1"/>
    <col min="6138" max="6139" width="3.140625" style="113" customWidth="1"/>
    <col min="6140" max="6378" width="13.85546875" style="113"/>
    <col min="6379" max="6380" width="3.140625" style="113" customWidth="1"/>
    <col min="6381" max="6381" width="8.5703125" style="113" customWidth="1"/>
    <col min="6382" max="6382" width="10" style="113" customWidth="1"/>
    <col min="6383" max="6383" width="69.42578125" style="113" customWidth="1"/>
    <col min="6384" max="6384" width="10.42578125" style="113" customWidth="1"/>
    <col min="6385" max="6385" width="8.28515625" style="113" bestFit="1" customWidth="1"/>
    <col min="6386" max="6386" width="14.85546875" style="113" bestFit="1" customWidth="1"/>
    <col min="6387" max="6387" width="14.42578125" style="113" customWidth="1"/>
    <col min="6388" max="6388" width="12.28515625" style="113" customWidth="1"/>
    <col min="6389" max="6389" width="14.85546875" style="113" customWidth="1"/>
    <col min="6390" max="6390" width="12.85546875" style="113" customWidth="1"/>
    <col min="6391" max="6391" width="14.85546875" style="113" customWidth="1"/>
    <col min="6392" max="6392" width="11.7109375" style="113" customWidth="1"/>
    <col min="6393" max="6393" width="14.28515625" style="113" customWidth="1"/>
    <col min="6394" max="6395" width="3.140625" style="113" customWidth="1"/>
    <col min="6396" max="6634" width="13.85546875" style="113"/>
    <col min="6635" max="6636" width="3.140625" style="113" customWidth="1"/>
    <col min="6637" max="6637" width="8.5703125" style="113" customWidth="1"/>
    <col min="6638" max="6638" width="10" style="113" customWidth="1"/>
    <col min="6639" max="6639" width="69.42578125" style="113" customWidth="1"/>
    <col min="6640" max="6640" width="10.42578125" style="113" customWidth="1"/>
    <col min="6641" max="6641" width="8.28515625" style="113" bestFit="1" customWidth="1"/>
    <col min="6642" max="6642" width="14.85546875" style="113" bestFit="1" customWidth="1"/>
    <col min="6643" max="6643" width="14.42578125" style="113" customWidth="1"/>
    <col min="6644" max="6644" width="12.28515625" style="113" customWidth="1"/>
    <col min="6645" max="6645" width="14.85546875" style="113" customWidth="1"/>
    <col min="6646" max="6646" width="12.85546875" style="113" customWidth="1"/>
    <col min="6647" max="6647" width="14.85546875" style="113" customWidth="1"/>
    <col min="6648" max="6648" width="11.7109375" style="113" customWidth="1"/>
    <col min="6649" max="6649" width="14.28515625" style="113" customWidth="1"/>
    <col min="6650" max="6651" width="3.140625" style="113" customWidth="1"/>
    <col min="6652" max="6890" width="13.85546875" style="113"/>
    <col min="6891" max="6892" width="3.140625" style="113" customWidth="1"/>
    <col min="6893" max="6893" width="8.5703125" style="113" customWidth="1"/>
    <col min="6894" max="6894" width="10" style="113" customWidth="1"/>
    <col min="6895" max="6895" width="69.42578125" style="113" customWidth="1"/>
    <col min="6896" max="6896" width="10.42578125" style="113" customWidth="1"/>
    <col min="6897" max="6897" width="8.28515625" style="113" bestFit="1" customWidth="1"/>
    <col min="6898" max="6898" width="14.85546875" style="113" bestFit="1" customWidth="1"/>
    <col min="6899" max="6899" width="14.42578125" style="113" customWidth="1"/>
    <col min="6900" max="6900" width="12.28515625" style="113" customWidth="1"/>
    <col min="6901" max="6901" width="14.85546875" style="113" customWidth="1"/>
    <col min="6902" max="6902" width="12.85546875" style="113" customWidth="1"/>
    <col min="6903" max="6903" width="14.85546875" style="113" customWidth="1"/>
    <col min="6904" max="6904" width="11.7109375" style="113" customWidth="1"/>
    <col min="6905" max="6905" width="14.28515625" style="113" customWidth="1"/>
    <col min="6906" max="6907" width="3.140625" style="113" customWidth="1"/>
    <col min="6908" max="7146" width="13.85546875" style="113"/>
    <col min="7147" max="7148" width="3.140625" style="113" customWidth="1"/>
    <col min="7149" max="7149" width="8.5703125" style="113" customWidth="1"/>
    <col min="7150" max="7150" width="10" style="113" customWidth="1"/>
    <col min="7151" max="7151" width="69.42578125" style="113" customWidth="1"/>
    <col min="7152" max="7152" width="10.42578125" style="113" customWidth="1"/>
    <col min="7153" max="7153" width="8.28515625" style="113" bestFit="1" customWidth="1"/>
    <col min="7154" max="7154" width="14.85546875" style="113" bestFit="1" customWidth="1"/>
    <col min="7155" max="7155" width="14.42578125" style="113" customWidth="1"/>
    <col min="7156" max="7156" width="12.28515625" style="113" customWidth="1"/>
    <col min="7157" max="7157" width="14.85546875" style="113" customWidth="1"/>
    <col min="7158" max="7158" width="12.85546875" style="113" customWidth="1"/>
    <col min="7159" max="7159" width="14.85546875" style="113" customWidth="1"/>
    <col min="7160" max="7160" width="11.7109375" style="113" customWidth="1"/>
    <col min="7161" max="7161" width="14.28515625" style="113" customWidth="1"/>
    <col min="7162" max="7163" width="3.140625" style="113" customWidth="1"/>
    <col min="7164" max="7402" width="13.85546875" style="113"/>
    <col min="7403" max="7404" width="3.140625" style="113" customWidth="1"/>
    <col min="7405" max="7405" width="8.5703125" style="113" customWidth="1"/>
    <col min="7406" max="7406" width="10" style="113" customWidth="1"/>
    <col min="7407" max="7407" width="69.42578125" style="113" customWidth="1"/>
    <col min="7408" max="7408" width="10.42578125" style="113" customWidth="1"/>
    <col min="7409" max="7409" width="8.28515625" style="113" bestFit="1" customWidth="1"/>
    <col min="7410" max="7410" width="14.85546875" style="113" bestFit="1" customWidth="1"/>
    <col min="7411" max="7411" width="14.42578125" style="113" customWidth="1"/>
    <col min="7412" max="7412" width="12.28515625" style="113" customWidth="1"/>
    <col min="7413" max="7413" width="14.85546875" style="113" customWidth="1"/>
    <col min="7414" max="7414" width="12.85546875" style="113" customWidth="1"/>
    <col min="7415" max="7415" width="14.85546875" style="113" customWidth="1"/>
    <col min="7416" max="7416" width="11.7109375" style="113" customWidth="1"/>
    <col min="7417" max="7417" width="14.28515625" style="113" customWidth="1"/>
    <col min="7418" max="7419" width="3.140625" style="113" customWidth="1"/>
    <col min="7420" max="7658" width="13.85546875" style="113"/>
    <col min="7659" max="7660" width="3.140625" style="113" customWidth="1"/>
    <col min="7661" max="7661" width="8.5703125" style="113" customWidth="1"/>
    <col min="7662" max="7662" width="10" style="113" customWidth="1"/>
    <col min="7663" max="7663" width="69.42578125" style="113" customWidth="1"/>
    <col min="7664" max="7664" width="10.42578125" style="113" customWidth="1"/>
    <col min="7665" max="7665" width="8.28515625" style="113" bestFit="1" customWidth="1"/>
    <col min="7666" max="7666" width="14.85546875" style="113" bestFit="1" customWidth="1"/>
    <col min="7667" max="7667" width="14.42578125" style="113" customWidth="1"/>
    <col min="7668" max="7668" width="12.28515625" style="113" customWidth="1"/>
    <col min="7669" max="7669" width="14.85546875" style="113" customWidth="1"/>
    <col min="7670" max="7670" width="12.85546875" style="113" customWidth="1"/>
    <col min="7671" max="7671" width="14.85546875" style="113" customWidth="1"/>
    <col min="7672" max="7672" width="11.7109375" style="113" customWidth="1"/>
    <col min="7673" max="7673" width="14.28515625" style="113" customWidth="1"/>
    <col min="7674" max="7675" width="3.140625" style="113" customWidth="1"/>
    <col min="7676" max="7914" width="13.85546875" style="113"/>
    <col min="7915" max="7916" width="3.140625" style="113" customWidth="1"/>
    <col min="7917" max="7917" width="8.5703125" style="113" customWidth="1"/>
    <col min="7918" max="7918" width="10" style="113" customWidth="1"/>
    <col min="7919" max="7919" width="69.42578125" style="113" customWidth="1"/>
    <col min="7920" max="7920" width="10.42578125" style="113" customWidth="1"/>
    <col min="7921" max="7921" width="8.28515625" style="113" bestFit="1" customWidth="1"/>
    <col min="7922" max="7922" width="14.85546875" style="113" bestFit="1" customWidth="1"/>
    <col min="7923" max="7923" width="14.42578125" style="113" customWidth="1"/>
    <col min="7924" max="7924" width="12.28515625" style="113" customWidth="1"/>
    <col min="7925" max="7925" width="14.85546875" style="113" customWidth="1"/>
    <col min="7926" max="7926" width="12.85546875" style="113" customWidth="1"/>
    <col min="7927" max="7927" width="14.85546875" style="113" customWidth="1"/>
    <col min="7928" max="7928" width="11.7109375" style="113" customWidth="1"/>
    <col min="7929" max="7929" width="14.28515625" style="113" customWidth="1"/>
    <col min="7930" max="7931" width="3.140625" style="113" customWidth="1"/>
    <col min="7932" max="8170" width="13.85546875" style="113"/>
    <col min="8171" max="8172" width="3.140625" style="113" customWidth="1"/>
    <col min="8173" max="8173" width="8.5703125" style="113" customWidth="1"/>
    <col min="8174" max="8174" width="10" style="113" customWidth="1"/>
    <col min="8175" max="8175" width="69.42578125" style="113" customWidth="1"/>
    <col min="8176" max="8176" width="10.42578125" style="113" customWidth="1"/>
    <col min="8177" max="8177" width="8.28515625" style="113" bestFit="1" customWidth="1"/>
    <col min="8178" max="8178" width="14.85546875" style="113" bestFit="1" customWidth="1"/>
    <col min="8179" max="8179" width="14.42578125" style="113" customWidth="1"/>
    <col min="8180" max="8180" width="12.28515625" style="113" customWidth="1"/>
    <col min="8181" max="8181" width="14.85546875" style="113" customWidth="1"/>
    <col min="8182" max="8182" width="12.85546875" style="113" customWidth="1"/>
    <col min="8183" max="8183" width="14.85546875" style="113" customWidth="1"/>
    <col min="8184" max="8184" width="11.7109375" style="113" customWidth="1"/>
    <col min="8185" max="8185" width="14.28515625" style="113" customWidth="1"/>
    <col min="8186" max="8187" width="3.140625" style="113" customWidth="1"/>
    <col min="8188" max="8426" width="13.85546875" style="113"/>
    <col min="8427" max="8428" width="3.140625" style="113" customWidth="1"/>
    <col min="8429" max="8429" width="8.5703125" style="113" customWidth="1"/>
    <col min="8430" max="8430" width="10" style="113" customWidth="1"/>
    <col min="8431" max="8431" width="69.42578125" style="113" customWidth="1"/>
    <col min="8432" max="8432" width="10.42578125" style="113" customWidth="1"/>
    <col min="8433" max="8433" width="8.28515625" style="113" bestFit="1" customWidth="1"/>
    <col min="8434" max="8434" width="14.85546875" style="113" bestFit="1" customWidth="1"/>
    <col min="8435" max="8435" width="14.42578125" style="113" customWidth="1"/>
    <col min="8436" max="8436" width="12.28515625" style="113" customWidth="1"/>
    <col min="8437" max="8437" width="14.85546875" style="113" customWidth="1"/>
    <col min="8438" max="8438" width="12.85546875" style="113" customWidth="1"/>
    <col min="8439" max="8439" width="14.85546875" style="113" customWidth="1"/>
    <col min="8440" max="8440" width="11.7109375" style="113" customWidth="1"/>
    <col min="8441" max="8441" width="14.28515625" style="113" customWidth="1"/>
    <col min="8442" max="8443" width="3.140625" style="113" customWidth="1"/>
    <col min="8444" max="8682" width="13.85546875" style="113"/>
    <col min="8683" max="8684" width="3.140625" style="113" customWidth="1"/>
    <col min="8685" max="8685" width="8.5703125" style="113" customWidth="1"/>
    <col min="8686" max="8686" width="10" style="113" customWidth="1"/>
    <col min="8687" max="8687" width="69.42578125" style="113" customWidth="1"/>
    <col min="8688" max="8688" width="10.42578125" style="113" customWidth="1"/>
    <col min="8689" max="8689" width="8.28515625" style="113" bestFit="1" customWidth="1"/>
    <col min="8690" max="8690" width="14.85546875" style="113" bestFit="1" customWidth="1"/>
    <col min="8691" max="8691" width="14.42578125" style="113" customWidth="1"/>
    <col min="8692" max="8692" width="12.28515625" style="113" customWidth="1"/>
    <col min="8693" max="8693" width="14.85546875" style="113" customWidth="1"/>
    <col min="8694" max="8694" width="12.85546875" style="113" customWidth="1"/>
    <col min="8695" max="8695" width="14.85546875" style="113" customWidth="1"/>
    <col min="8696" max="8696" width="11.7109375" style="113" customWidth="1"/>
    <col min="8697" max="8697" width="14.28515625" style="113" customWidth="1"/>
    <col min="8698" max="8699" width="3.140625" style="113" customWidth="1"/>
    <col min="8700" max="8938" width="13.85546875" style="113"/>
    <col min="8939" max="8940" width="3.140625" style="113" customWidth="1"/>
    <col min="8941" max="8941" width="8.5703125" style="113" customWidth="1"/>
    <col min="8942" max="8942" width="10" style="113" customWidth="1"/>
    <col min="8943" max="8943" width="69.42578125" style="113" customWidth="1"/>
    <col min="8944" max="8944" width="10.42578125" style="113" customWidth="1"/>
    <col min="8945" max="8945" width="8.28515625" style="113" bestFit="1" customWidth="1"/>
    <col min="8946" max="8946" width="14.85546875" style="113" bestFit="1" customWidth="1"/>
    <col min="8947" max="8947" width="14.42578125" style="113" customWidth="1"/>
    <col min="8948" max="8948" width="12.28515625" style="113" customWidth="1"/>
    <col min="8949" max="8949" width="14.85546875" style="113" customWidth="1"/>
    <col min="8950" max="8950" width="12.85546875" style="113" customWidth="1"/>
    <col min="8951" max="8951" width="14.85546875" style="113" customWidth="1"/>
    <col min="8952" max="8952" width="11.7109375" style="113" customWidth="1"/>
    <col min="8953" max="8953" width="14.28515625" style="113" customWidth="1"/>
    <col min="8954" max="8955" width="3.140625" style="113" customWidth="1"/>
    <col min="8956" max="9194" width="13.85546875" style="113"/>
    <col min="9195" max="9196" width="3.140625" style="113" customWidth="1"/>
    <col min="9197" max="9197" width="8.5703125" style="113" customWidth="1"/>
    <col min="9198" max="9198" width="10" style="113" customWidth="1"/>
    <col min="9199" max="9199" width="69.42578125" style="113" customWidth="1"/>
    <col min="9200" max="9200" width="10.42578125" style="113" customWidth="1"/>
    <col min="9201" max="9201" width="8.28515625" style="113" bestFit="1" customWidth="1"/>
    <col min="9202" max="9202" width="14.85546875" style="113" bestFit="1" customWidth="1"/>
    <col min="9203" max="9203" width="14.42578125" style="113" customWidth="1"/>
    <col min="9204" max="9204" width="12.28515625" style="113" customWidth="1"/>
    <col min="9205" max="9205" width="14.85546875" style="113" customWidth="1"/>
    <col min="9206" max="9206" width="12.85546875" style="113" customWidth="1"/>
    <col min="9207" max="9207" width="14.85546875" style="113" customWidth="1"/>
    <col min="9208" max="9208" width="11.7109375" style="113" customWidth="1"/>
    <col min="9209" max="9209" width="14.28515625" style="113" customWidth="1"/>
    <col min="9210" max="9211" width="3.140625" style="113" customWidth="1"/>
    <col min="9212" max="9450" width="13.85546875" style="113"/>
    <col min="9451" max="9452" width="3.140625" style="113" customWidth="1"/>
    <col min="9453" max="9453" width="8.5703125" style="113" customWidth="1"/>
    <col min="9454" max="9454" width="10" style="113" customWidth="1"/>
    <col min="9455" max="9455" width="69.42578125" style="113" customWidth="1"/>
    <col min="9456" max="9456" width="10.42578125" style="113" customWidth="1"/>
    <col min="9457" max="9457" width="8.28515625" style="113" bestFit="1" customWidth="1"/>
    <col min="9458" max="9458" width="14.85546875" style="113" bestFit="1" customWidth="1"/>
    <col min="9459" max="9459" width="14.42578125" style="113" customWidth="1"/>
    <col min="9460" max="9460" width="12.28515625" style="113" customWidth="1"/>
    <col min="9461" max="9461" width="14.85546875" style="113" customWidth="1"/>
    <col min="9462" max="9462" width="12.85546875" style="113" customWidth="1"/>
    <col min="9463" max="9463" width="14.85546875" style="113" customWidth="1"/>
    <col min="9464" max="9464" width="11.7109375" style="113" customWidth="1"/>
    <col min="9465" max="9465" width="14.28515625" style="113" customWidth="1"/>
    <col min="9466" max="9467" width="3.140625" style="113" customWidth="1"/>
    <col min="9468" max="9706" width="13.85546875" style="113"/>
    <col min="9707" max="9708" width="3.140625" style="113" customWidth="1"/>
    <col min="9709" max="9709" width="8.5703125" style="113" customWidth="1"/>
    <col min="9710" max="9710" width="10" style="113" customWidth="1"/>
    <col min="9711" max="9711" width="69.42578125" style="113" customWidth="1"/>
    <col min="9712" max="9712" width="10.42578125" style="113" customWidth="1"/>
    <col min="9713" max="9713" width="8.28515625" style="113" bestFit="1" customWidth="1"/>
    <col min="9714" max="9714" width="14.85546875" style="113" bestFit="1" customWidth="1"/>
    <col min="9715" max="9715" width="14.42578125" style="113" customWidth="1"/>
    <col min="9716" max="9716" width="12.28515625" style="113" customWidth="1"/>
    <col min="9717" max="9717" width="14.85546875" style="113" customWidth="1"/>
    <col min="9718" max="9718" width="12.85546875" style="113" customWidth="1"/>
    <col min="9719" max="9719" width="14.85546875" style="113" customWidth="1"/>
    <col min="9720" max="9720" width="11.7109375" style="113" customWidth="1"/>
    <col min="9721" max="9721" width="14.28515625" style="113" customWidth="1"/>
    <col min="9722" max="9723" width="3.140625" style="113" customWidth="1"/>
    <col min="9724" max="9962" width="13.85546875" style="113"/>
    <col min="9963" max="9964" width="3.140625" style="113" customWidth="1"/>
    <col min="9965" max="9965" width="8.5703125" style="113" customWidth="1"/>
    <col min="9966" max="9966" width="10" style="113" customWidth="1"/>
    <col min="9967" max="9967" width="69.42578125" style="113" customWidth="1"/>
    <col min="9968" max="9968" width="10.42578125" style="113" customWidth="1"/>
    <col min="9969" max="9969" width="8.28515625" style="113" bestFit="1" customWidth="1"/>
    <col min="9970" max="9970" width="14.85546875" style="113" bestFit="1" customWidth="1"/>
    <col min="9971" max="9971" width="14.42578125" style="113" customWidth="1"/>
    <col min="9972" max="9972" width="12.28515625" style="113" customWidth="1"/>
    <col min="9973" max="9973" width="14.85546875" style="113" customWidth="1"/>
    <col min="9974" max="9974" width="12.85546875" style="113" customWidth="1"/>
    <col min="9975" max="9975" width="14.85546875" style="113" customWidth="1"/>
    <col min="9976" max="9976" width="11.7109375" style="113" customWidth="1"/>
    <col min="9977" max="9977" width="14.28515625" style="113" customWidth="1"/>
    <col min="9978" max="9979" width="3.140625" style="113" customWidth="1"/>
    <col min="9980" max="10218" width="13.85546875" style="113"/>
    <col min="10219" max="10220" width="3.140625" style="113" customWidth="1"/>
    <col min="10221" max="10221" width="8.5703125" style="113" customWidth="1"/>
    <col min="10222" max="10222" width="10" style="113" customWidth="1"/>
    <col min="10223" max="10223" width="69.42578125" style="113" customWidth="1"/>
    <col min="10224" max="10224" width="10.42578125" style="113" customWidth="1"/>
    <col min="10225" max="10225" width="8.28515625" style="113" bestFit="1" customWidth="1"/>
    <col min="10226" max="10226" width="14.85546875" style="113" bestFit="1" customWidth="1"/>
    <col min="10227" max="10227" width="14.42578125" style="113" customWidth="1"/>
    <col min="10228" max="10228" width="12.28515625" style="113" customWidth="1"/>
    <col min="10229" max="10229" width="14.85546875" style="113" customWidth="1"/>
    <col min="10230" max="10230" width="12.85546875" style="113" customWidth="1"/>
    <col min="10231" max="10231" width="14.85546875" style="113" customWidth="1"/>
    <col min="10232" max="10232" width="11.7109375" style="113" customWidth="1"/>
    <col min="10233" max="10233" width="14.28515625" style="113" customWidth="1"/>
    <col min="10234" max="10235" width="3.140625" style="113" customWidth="1"/>
    <col min="10236" max="10474" width="13.85546875" style="113"/>
    <col min="10475" max="10476" width="3.140625" style="113" customWidth="1"/>
    <col min="10477" max="10477" width="8.5703125" style="113" customWidth="1"/>
    <col min="10478" max="10478" width="10" style="113" customWidth="1"/>
    <col min="10479" max="10479" width="69.42578125" style="113" customWidth="1"/>
    <col min="10480" max="10480" width="10.42578125" style="113" customWidth="1"/>
    <col min="10481" max="10481" width="8.28515625" style="113" bestFit="1" customWidth="1"/>
    <col min="10482" max="10482" width="14.85546875" style="113" bestFit="1" customWidth="1"/>
    <col min="10483" max="10483" width="14.42578125" style="113" customWidth="1"/>
    <col min="10484" max="10484" width="12.28515625" style="113" customWidth="1"/>
    <col min="10485" max="10485" width="14.85546875" style="113" customWidth="1"/>
    <col min="10486" max="10486" width="12.85546875" style="113" customWidth="1"/>
    <col min="10487" max="10487" width="14.85546875" style="113" customWidth="1"/>
    <col min="10488" max="10488" width="11.7109375" style="113" customWidth="1"/>
    <col min="10489" max="10489" width="14.28515625" style="113" customWidth="1"/>
    <col min="10490" max="10491" width="3.140625" style="113" customWidth="1"/>
    <col min="10492" max="10730" width="13.85546875" style="113"/>
    <col min="10731" max="10732" width="3.140625" style="113" customWidth="1"/>
    <col min="10733" max="10733" width="8.5703125" style="113" customWidth="1"/>
    <col min="10734" max="10734" width="10" style="113" customWidth="1"/>
    <col min="10735" max="10735" width="69.42578125" style="113" customWidth="1"/>
    <col min="10736" max="10736" width="10.42578125" style="113" customWidth="1"/>
    <col min="10737" max="10737" width="8.28515625" style="113" bestFit="1" customWidth="1"/>
    <col min="10738" max="10738" width="14.85546875" style="113" bestFit="1" customWidth="1"/>
    <col min="10739" max="10739" width="14.42578125" style="113" customWidth="1"/>
    <col min="10740" max="10740" width="12.28515625" style="113" customWidth="1"/>
    <col min="10741" max="10741" width="14.85546875" style="113" customWidth="1"/>
    <col min="10742" max="10742" width="12.85546875" style="113" customWidth="1"/>
    <col min="10743" max="10743" width="14.85546875" style="113" customWidth="1"/>
    <col min="10744" max="10744" width="11.7109375" style="113" customWidth="1"/>
    <col min="10745" max="10745" width="14.28515625" style="113" customWidth="1"/>
    <col min="10746" max="10747" width="3.140625" style="113" customWidth="1"/>
    <col min="10748" max="10986" width="13.85546875" style="113"/>
    <col min="10987" max="10988" width="3.140625" style="113" customWidth="1"/>
    <col min="10989" max="10989" width="8.5703125" style="113" customWidth="1"/>
    <col min="10990" max="10990" width="10" style="113" customWidth="1"/>
    <col min="10991" max="10991" width="69.42578125" style="113" customWidth="1"/>
    <col min="10992" max="10992" width="10.42578125" style="113" customWidth="1"/>
    <col min="10993" max="10993" width="8.28515625" style="113" bestFit="1" customWidth="1"/>
    <col min="10994" max="10994" width="14.85546875" style="113" bestFit="1" customWidth="1"/>
    <col min="10995" max="10995" width="14.42578125" style="113" customWidth="1"/>
    <col min="10996" max="10996" width="12.28515625" style="113" customWidth="1"/>
    <col min="10997" max="10997" width="14.85546875" style="113" customWidth="1"/>
    <col min="10998" max="10998" width="12.85546875" style="113" customWidth="1"/>
    <col min="10999" max="10999" width="14.85546875" style="113" customWidth="1"/>
    <col min="11000" max="11000" width="11.7109375" style="113" customWidth="1"/>
    <col min="11001" max="11001" width="14.28515625" style="113" customWidth="1"/>
    <col min="11002" max="11003" width="3.140625" style="113" customWidth="1"/>
    <col min="11004" max="11242" width="13.85546875" style="113"/>
    <col min="11243" max="11244" width="3.140625" style="113" customWidth="1"/>
    <col min="11245" max="11245" width="8.5703125" style="113" customWidth="1"/>
    <col min="11246" max="11246" width="10" style="113" customWidth="1"/>
    <col min="11247" max="11247" width="69.42578125" style="113" customWidth="1"/>
    <col min="11248" max="11248" width="10.42578125" style="113" customWidth="1"/>
    <col min="11249" max="11249" width="8.28515625" style="113" bestFit="1" customWidth="1"/>
    <col min="11250" max="11250" width="14.85546875" style="113" bestFit="1" customWidth="1"/>
    <col min="11251" max="11251" width="14.42578125" style="113" customWidth="1"/>
    <col min="11252" max="11252" width="12.28515625" style="113" customWidth="1"/>
    <col min="11253" max="11253" width="14.85546875" style="113" customWidth="1"/>
    <col min="11254" max="11254" width="12.85546875" style="113" customWidth="1"/>
    <col min="11255" max="11255" width="14.85546875" style="113" customWidth="1"/>
    <col min="11256" max="11256" width="11.7109375" style="113" customWidth="1"/>
    <col min="11257" max="11257" width="14.28515625" style="113" customWidth="1"/>
    <col min="11258" max="11259" width="3.140625" style="113" customWidth="1"/>
    <col min="11260" max="11498" width="13.85546875" style="113"/>
    <col min="11499" max="11500" width="3.140625" style="113" customWidth="1"/>
    <col min="11501" max="11501" width="8.5703125" style="113" customWidth="1"/>
    <col min="11502" max="11502" width="10" style="113" customWidth="1"/>
    <col min="11503" max="11503" width="69.42578125" style="113" customWidth="1"/>
    <col min="11504" max="11504" width="10.42578125" style="113" customWidth="1"/>
    <col min="11505" max="11505" width="8.28515625" style="113" bestFit="1" customWidth="1"/>
    <col min="11506" max="11506" width="14.85546875" style="113" bestFit="1" customWidth="1"/>
    <col min="11507" max="11507" width="14.42578125" style="113" customWidth="1"/>
    <col min="11508" max="11508" width="12.28515625" style="113" customWidth="1"/>
    <col min="11509" max="11509" width="14.85546875" style="113" customWidth="1"/>
    <col min="11510" max="11510" width="12.85546875" style="113" customWidth="1"/>
    <col min="11511" max="11511" width="14.85546875" style="113" customWidth="1"/>
    <col min="11512" max="11512" width="11.7109375" style="113" customWidth="1"/>
    <col min="11513" max="11513" width="14.28515625" style="113" customWidth="1"/>
    <col min="11514" max="11515" width="3.140625" style="113" customWidth="1"/>
    <col min="11516" max="11754" width="13.85546875" style="113"/>
    <col min="11755" max="11756" width="3.140625" style="113" customWidth="1"/>
    <col min="11757" max="11757" width="8.5703125" style="113" customWidth="1"/>
    <col min="11758" max="11758" width="10" style="113" customWidth="1"/>
    <col min="11759" max="11759" width="69.42578125" style="113" customWidth="1"/>
    <col min="11760" max="11760" width="10.42578125" style="113" customWidth="1"/>
    <col min="11761" max="11761" width="8.28515625" style="113" bestFit="1" customWidth="1"/>
    <col min="11762" max="11762" width="14.85546875" style="113" bestFit="1" customWidth="1"/>
    <col min="11763" max="11763" width="14.42578125" style="113" customWidth="1"/>
    <col min="11764" max="11764" width="12.28515625" style="113" customWidth="1"/>
    <col min="11765" max="11765" width="14.85546875" style="113" customWidth="1"/>
    <col min="11766" max="11766" width="12.85546875" style="113" customWidth="1"/>
    <col min="11767" max="11767" width="14.85546875" style="113" customWidth="1"/>
    <col min="11768" max="11768" width="11.7109375" style="113" customWidth="1"/>
    <col min="11769" max="11769" width="14.28515625" style="113" customWidth="1"/>
    <col min="11770" max="11771" width="3.140625" style="113" customWidth="1"/>
    <col min="11772" max="12010" width="13.85546875" style="113"/>
    <col min="12011" max="12012" width="3.140625" style="113" customWidth="1"/>
    <col min="12013" max="12013" width="8.5703125" style="113" customWidth="1"/>
    <col min="12014" max="12014" width="10" style="113" customWidth="1"/>
    <col min="12015" max="12015" width="69.42578125" style="113" customWidth="1"/>
    <col min="12016" max="12016" width="10.42578125" style="113" customWidth="1"/>
    <col min="12017" max="12017" width="8.28515625" style="113" bestFit="1" customWidth="1"/>
    <col min="12018" max="12018" width="14.85546875" style="113" bestFit="1" customWidth="1"/>
    <col min="12019" max="12019" width="14.42578125" style="113" customWidth="1"/>
    <col min="12020" max="12020" width="12.28515625" style="113" customWidth="1"/>
    <col min="12021" max="12021" width="14.85546875" style="113" customWidth="1"/>
    <col min="12022" max="12022" width="12.85546875" style="113" customWidth="1"/>
    <col min="12023" max="12023" width="14.85546875" style="113" customWidth="1"/>
    <col min="12024" max="12024" width="11.7109375" style="113" customWidth="1"/>
    <col min="12025" max="12025" width="14.28515625" style="113" customWidth="1"/>
    <col min="12026" max="12027" width="3.140625" style="113" customWidth="1"/>
    <col min="12028" max="12266" width="13.85546875" style="113"/>
    <col min="12267" max="12268" width="3.140625" style="113" customWidth="1"/>
    <col min="12269" max="12269" width="8.5703125" style="113" customWidth="1"/>
    <col min="12270" max="12270" width="10" style="113" customWidth="1"/>
    <col min="12271" max="12271" width="69.42578125" style="113" customWidth="1"/>
    <col min="12272" max="12272" width="10.42578125" style="113" customWidth="1"/>
    <col min="12273" max="12273" width="8.28515625" style="113" bestFit="1" customWidth="1"/>
    <col min="12274" max="12274" width="14.85546875" style="113" bestFit="1" customWidth="1"/>
    <col min="12275" max="12275" width="14.42578125" style="113" customWidth="1"/>
    <col min="12276" max="12276" width="12.28515625" style="113" customWidth="1"/>
    <col min="12277" max="12277" width="14.85546875" style="113" customWidth="1"/>
    <col min="12278" max="12278" width="12.85546875" style="113" customWidth="1"/>
    <col min="12279" max="12279" width="14.85546875" style="113" customWidth="1"/>
    <col min="12280" max="12280" width="11.7109375" style="113" customWidth="1"/>
    <col min="12281" max="12281" width="14.28515625" style="113" customWidth="1"/>
    <col min="12282" max="12283" width="3.140625" style="113" customWidth="1"/>
    <col min="12284" max="12522" width="13.85546875" style="113"/>
    <col min="12523" max="12524" width="3.140625" style="113" customWidth="1"/>
    <col min="12525" max="12525" width="8.5703125" style="113" customWidth="1"/>
    <col min="12526" max="12526" width="10" style="113" customWidth="1"/>
    <col min="12527" max="12527" width="69.42578125" style="113" customWidth="1"/>
    <col min="12528" max="12528" width="10.42578125" style="113" customWidth="1"/>
    <col min="12529" max="12529" width="8.28515625" style="113" bestFit="1" customWidth="1"/>
    <col min="12530" max="12530" width="14.85546875" style="113" bestFit="1" customWidth="1"/>
    <col min="12531" max="12531" width="14.42578125" style="113" customWidth="1"/>
    <col min="12532" max="12532" width="12.28515625" style="113" customWidth="1"/>
    <col min="12533" max="12533" width="14.85546875" style="113" customWidth="1"/>
    <col min="12534" max="12534" width="12.85546875" style="113" customWidth="1"/>
    <col min="12535" max="12535" width="14.85546875" style="113" customWidth="1"/>
    <col min="12536" max="12536" width="11.7109375" style="113" customWidth="1"/>
    <col min="12537" max="12537" width="14.28515625" style="113" customWidth="1"/>
    <col min="12538" max="12539" width="3.140625" style="113" customWidth="1"/>
    <col min="12540" max="12778" width="13.85546875" style="113"/>
    <col min="12779" max="12780" width="3.140625" style="113" customWidth="1"/>
    <col min="12781" max="12781" width="8.5703125" style="113" customWidth="1"/>
    <col min="12782" max="12782" width="10" style="113" customWidth="1"/>
    <col min="12783" max="12783" width="69.42578125" style="113" customWidth="1"/>
    <col min="12784" max="12784" width="10.42578125" style="113" customWidth="1"/>
    <col min="12785" max="12785" width="8.28515625" style="113" bestFit="1" customWidth="1"/>
    <col min="12786" max="12786" width="14.85546875" style="113" bestFit="1" customWidth="1"/>
    <col min="12787" max="12787" width="14.42578125" style="113" customWidth="1"/>
    <col min="12788" max="12788" width="12.28515625" style="113" customWidth="1"/>
    <col min="12789" max="12789" width="14.85546875" style="113" customWidth="1"/>
    <col min="12790" max="12790" width="12.85546875" style="113" customWidth="1"/>
    <col min="12791" max="12791" width="14.85546875" style="113" customWidth="1"/>
    <col min="12792" max="12792" width="11.7109375" style="113" customWidth="1"/>
    <col min="12793" max="12793" width="14.28515625" style="113" customWidth="1"/>
    <col min="12794" max="12795" width="3.140625" style="113" customWidth="1"/>
    <col min="12796" max="13034" width="13.85546875" style="113"/>
    <col min="13035" max="13036" width="3.140625" style="113" customWidth="1"/>
    <col min="13037" max="13037" width="8.5703125" style="113" customWidth="1"/>
    <col min="13038" max="13038" width="10" style="113" customWidth="1"/>
    <col min="13039" max="13039" width="69.42578125" style="113" customWidth="1"/>
    <col min="13040" max="13040" width="10.42578125" style="113" customWidth="1"/>
    <col min="13041" max="13041" width="8.28515625" style="113" bestFit="1" customWidth="1"/>
    <col min="13042" max="13042" width="14.85546875" style="113" bestFit="1" customWidth="1"/>
    <col min="13043" max="13043" width="14.42578125" style="113" customWidth="1"/>
    <col min="13044" max="13044" width="12.28515625" style="113" customWidth="1"/>
    <col min="13045" max="13045" width="14.85546875" style="113" customWidth="1"/>
    <col min="13046" max="13046" width="12.85546875" style="113" customWidth="1"/>
    <col min="13047" max="13047" width="14.85546875" style="113" customWidth="1"/>
    <col min="13048" max="13048" width="11.7109375" style="113" customWidth="1"/>
    <col min="13049" max="13049" width="14.28515625" style="113" customWidth="1"/>
    <col min="13050" max="13051" width="3.140625" style="113" customWidth="1"/>
    <col min="13052" max="13290" width="13.85546875" style="113"/>
    <col min="13291" max="13292" width="3.140625" style="113" customWidth="1"/>
    <col min="13293" max="13293" width="8.5703125" style="113" customWidth="1"/>
    <col min="13294" max="13294" width="10" style="113" customWidth="1"/>
    <col min="13295" max="13295" width="69.42578125" style="113" customWidth="1"/>
    <col min="13296" max="13296" width="10.42578125" style="113" customWidth="1"/>
    <col min="13297" max="13297" width="8.28515625" style="113" bestFit="1" customWidth="1"/>
    <col min="13298" max="13298" width="14.85546875" style="113" bestFit="1" customWidth="1"/>
    <col min="13299" max="13299" width="14.42578125" style="113" customWidth="1"/>
    <col min="13300" max="13300" width="12.28515625" style="113" customWidth="1"/>
    <col min="13301" max="13301" width="14.85546875" style="113" customWidth="1"/>
    <col min="13302" max="13302" width="12.85546875" style="113" customWidth="1"/>
    <col min="13303" max="13303" width="14.85546875" style="113" customWidth="1"/>
    <col min="13304" max="13304" width="11.7109375" style="113" customWidth="1"/>
    <col min="13305" max="13305" width="14.28515625" style="113" customWidth="1"/>
    <col min="13306" max="13307" width="3.140625" style="113" customWidth="1"/>
    <col min="13308" max="13546" width="13.85546875" style="113"/>
    <col min="13547" max="13548" width="3.140625" style="113" customWidth="1"/>
    <col min="13549" max="13549" width="8.5703125" style="113" customWidth="1"/>
    <col min="13550" max="13550" width="10" style="113" customWidth="1"/>
    <col min="13551" max="13551" width="69.42578125" style="113" customWidth="1"/>
    <col min="13552" max="13552" width="10.42578125" style="113" customWidth="1"/>
    <col min="13553" max="13553" width="8.28515625" style="113" bestFit="1" customWidth="1"/>
    <col min="13554" max="13554" width="14.85546875" style="113" bestFit="1" customWidth="1"/>
    <col min="13555" max="13555" width="14.42578125" style="113" customWidth="1"/>
    <col min="13556" max="13556" width="12.28515625" style="113" customWidth="1"/>
    <col min="13557" max="13557" width="14.85546875" style="113" customWidth="1"/>
    <col min="13558" max="13558" width="12.85546875" style="113" customWidth="1"/>
    <col min="13559" max="13559" width="14.85546875" style="113" customWidth="1"/>
    <col min="13560" max="13560" width="11.7109375" style="113" customWidth="1"/>
    <col min="13561" max="13561" width="14.28515625" style="113" customWidth="1"/>
    <col min="13562" max="13563" width="3.140625" style="113" customWidth="1"/>
    <col min="13564" max="13802" width="13.85546875" style="113"/>
    <col min="13803" max="13804" width="3.140625" style="113" customWidth="1"/>
    <col min="13805" max="13805" width="8.5703125" style="113" customWidth="1"/>
    <col min="13806" max="13806" width="10" style="113" customWidth="1"/>
    <col min="13807" max="13807" width="69.42578125" style="113" customWidth="1"/>
    <col min="13808" max="13808" width="10.42578125" style="113" customWidth="1"/>
    <col min="13809" max="13809" width="8.28515625" style="113" bestFit="1" customWidth="1"/>
    <col min="13810" max="13810" width="14.85546875" style="113" bestFit="1" customWidth="1"/>
    <col min="13811" max="13811" width="14.42578125" style="113" customWidth="1"/>
    <col min="13812" max="13812" width="12.28515625" style="113" customWidth="1"/>
    <col min="13813" max="13813" width="14.85546875" style="113" customWidth="1"/>
    <col min="13814" max="13814" width="12.85546875" style="113" customWidth="1"/>
    <col min="13815" max="13815" width="14.85546875" style="113" customWidth="1"/>
    <col min="13816" max="13816" width="11.7109375" style="113" customWidth="1"/>
    <col min="13817" max="13817" width="14.28515625" style="113" customWidth="1"/>
    <col min="13818" max="13819" width="3.140625" style="113" customWidth="1"/>
    <col min="13820" max="14058" width="13.85546875" style="113"/>
    <col min="14059" max="14060" width="3.140625" style="113" customWidth="1"/>
    <col min="14061" max="14061" width="8.5703125" style="113" customWidth="1"/>
    <col min="14062" max="14062" width="10" style="113" customWidth="1"/>
    <col min="14063" max="14063" width="69.42578125" style="113" customWidth="1"/>
    <col min="14064" max="14064" width="10.42578125" style="113" customWidth="1"/>
    <col min="14065" max="14065" width="8.28515625" style="113" bestFit="1" customWidth="1"/>
    <col min="14066" max="14066" width="14.85546875" style="113" bestFit="1" customWidth="1"/>
    <col min="14067" max="14067" width="14.42578125" style="113" customWidth="1"/>
    <col min="14068" max="14068" width="12.28515625" style="113" customWidth="1"/>
    <col min="14069" max="14069" width="14.85546875" style="113" customWidth="1"/>
    <col min="14070" max="14070" width="12.85546875" style="113" customWidth="1"/>
    <col min="14071" max="14071" width="14.85546875" style="113" customWidth="1"/>
    <col min="14072" max="14072" width="11.7109375" style="113" customWidth="1"/>
    <col min="14073" max="14073" width="14.28515625" style="113" customWidth="1"/>
    <col min="14074" max="14075" width="3.140625" style="113" customWidth="1"/>
    <col min="14076" max="14314" width="13.85546875" style="113"/>
    <col min="14315" max="14316" width="3.140625" style="113" customWidth="1"/>
    <col min="14317" max="14317" width="8.5703125" style="113" customWidth="1"/>
    <col min="14318" max="14318" width="10" style="113" customWidth="1"/>
    <col min="14319" max="14319" width="69.42578125" style="113" customWidth="1"/>
    <col min="14320" max="14320" width="10.42578125" style="113" customWidth="1"/>
    <col min="14321" max="14321" width="8.28515625" style="113" bestFit="1" customWidth="1"/>
    <col min="14322" max="14322" width="14.85546875" style="113" bestFit="1" customWidth="1"/>
    <col min="14323" max="14323" width="14.42578125" style="113" customWidth="1"/>
    <col min="14324" max="14324" width="12.28515625" style="113" customWidth="1"/>
    <col min="14325" max="14325" width="14.85546875" style="113" customWidth="1"/>
    <col min="14326" max="14326" width="12.85546875" style="113" customWidth="1"/>
    <col min="14327" max="14327" width="14.85546875" style="113" customWidth="1"/>
    <col min="14328" max="14328" width="11.7109375" style="113" customWidth="1"/>
    <col min="14329" max="14329" width="14.28515625" style="113" customWidth="1"/>
    <col min="14330" max="14331" width="3.140625" style="113" customWidth="1"/>
    <col min="14332" max="14570" width="13.85546875" style="113"/>
    <col min="14571" max="14572" width="3.140625" style="113" customWidth="1"/>
    <col min="14573" max="14573" width="8.5703125" style="113" customWidth="1"/>
    <col min="14574" max="14574" width="10" style="113" customWidth="1"/>
    <col min="14575" max="14575" width="69.42578125" style="113" customWidth="1"/>
    <col min="14576" max="14576" width="10.42578125" style="113" customWidth="1"/>
    <col min="14577" max="14577" width="8.28515625" style="113" bestFit="1" customWidth="1"/>
    <col min="14578" max="14578" width="14.85546875" style="113" bestFit="1" customWidth="1"/>
    <col min="14579" max="14579" width="14.42578125" style="113" customWidth="1"/>
    <col min="14580" max="14580" width="12.28515625" style="113" customWidth="1"/>
    <col min="14581" max="14581" width="14.85546875" style="113" customWidth="1"/>
    <col min="14582" max="14582" width="12.85546875" style="113" customWidth="1"/>
    <col min="14583" max="14583" width="14.85546875" style="113" customWidth="1"/>
    <col min="14584" max="14584" width="11.7109375" style="113" customWidth="1"/>
    <col min="14585" max="14585" width="14.28515625" style="113" customWidth="1"/>
    <col min="14586" max="14587" width="3.140625" style="113" customWidth="1"/>
    <col min="14588" max="14826" width="13.85546875" style="113"/>
    <col min="14827" max="14828" width="3.140625" style="113" customWidth="1"/>
    <col min="14829" max="14829" width="8.5703125" style="113" customWidth="1"/>
    <col min="14830" max="14830" width="10" style="113" customWidth="1"/>
    <col min="14831" max="14831" width="69.42578125" style="113" customWidth="1"/>
    <col min="14832" max="14832" width="10.42578125" style="113" customWidth="1"/>
    <col min="14833" max="14833" width="8.28515625" style="113" bestFit="1" customWidth="1"/>
    <col min="14834" max="14834" width="14.85546875" style="113" bestFit="1" customWidth="1"/>
    <col min="14835" max="14835" width="14.42578125" style="113" customWidth="1"/>
    <col min="14836" max="14836" width="12.28515625" style="113" customWidth="1"/>
    <col min="14837" max="14837" width="14.85546875" style="113" customWidth="1"/>
    <col min="14838" max="14838" width="12.85546875" style="113" customWidth="1"/>
    <col min="14839" max="14839" width="14.85546875" style="113" customWidth="1"/>
    <col min="14840" max="14840" width="11.7109375" style="113" customWidth="1"/>
    <col min="14841" max="14841" width="14.28515625" style="113" customWidth="1"/>
    <col min="14842" max="14843" width="3.140625" style="113" customWidth="1"/>
    <col min="14844" max="15082" width="13.85546875" style="113"/>
    <col min="15083" max="15084" width="3.140625" style="113" customWidth="1"/>
    <col min="15085" max="15085" width="8.5703125" style="113" customWidth="1"/>
    <col min="15086" max="15086" width="10" style="113" customWidth="1"/>
    <col min="15087" max="15087" width="69.42578125" style="113" customWidth="1"/>
    <col min="15088" max="15088" width="10.42578125" style="113" customWidth="1"/>
    <col min="15089" max="15089" width="8.28515625" style="113" bestFit="1" customWidth="1"/>
    <col min="15090" max="15090" width="14.85546875" style="113" bestFit="1" customWidth="1"/>
    <col min="15091" max="15091" width="14.42578125" style="113" customWidth="1"/>
    <col min="15092" max="15092" width="12.28515625" style="113" customWidth="1"/>
    <col min="15093" max="15093" width="14.85546875" style="113" customWidth="1"/>
    <col min="15094" max="15094" width="12.85546875" style="113" customWidth="1"/>
    <col min="15095" max="15095" width="14.85546875" style="113" customWidth="1"/>
    <col min="15096" max="15096" width="11.7109375" style="113" customWidth="1"/>
    <col min="15097" max="15097" width="14.28515625" style="113" customWidth="1"/>
    <col min="15098" max="15099" width="3.140625" style="113" customWidth="1"/>
    <col min="15100" max="15338" width="13.85546875" style="113"/>
    <col min="15339" max="15340" width="3.140625" style="113" customWidth="1"/>
    <col min="15341" max="15341" width="8.5703125" style="113" customWidth="1"/>
    <col min="15342" max="15342" width="10" style="113" customWidth="1"/>
    <col min="15343" max="15343" width="69.42578125" style="113" customWidth="1"/>
    <col min="15344" max="15344" width="10.42578125" style="113" customWidth="1"/>
    <col min="15345" max="15345" width="8.28515625" style="113" bestFit="1" customWidth="1"/>
    <col min="15346" max="15346" width="14.85546875" style="113" bestFit="1" customWidth="1"/>
    <col min="15347" max="15347" width="14.42578125" style="113" customWidth="1"/>
    <col min="15348" max="15348" width="12.28515625" style="113" customWidth="1"/>
    <col min="15349" max="15349" width="14.85546875" style="113" customWidth="1"/>
    <col min="15350" max="15350" width="12.85546875" style="113" customWidth="1"/>
    <col min="15351" max="15351" width="14.85546875" style="113" customWidth="1"/>
    <col min="15352" max="15352" width="11.7109375" style="113" customWidth="1"/>
    <col min="15353" max="15353" width="14.28515625" style="113" customWidth="1"/>
    <col min="15354" max="15355" width="3.140625" style="113" customWidth="1"/>
    <col min="15356" max="15594" width="13.85546875" style="113"/>
    <col min="15595" max="15596" width="3.140625" style="113" customWidth="1"/>
    <col min="15597" max="15597" width="8.5703125" style="113" customWidth="1"/>
    <col min="15598" max="15598" width="10" style="113" customWidth="1"/>
    <col min="15599" max="15599" width="69.42578125" style="113" customWidth="1"/>
    <col min="15600" max="15600" width="10.42578125" style="113" customWidth="1"/>
    <col min="15601" max="15601" width="8.28515625" style="113" bestFit="1" customWidth="1"/>
    <col min="15602" max="15602" width="14.85546875" style="113" bestFit="1" customWidth="1"/>
    <col min="15603" max="15603" width="14.42578125" style="113" customWidth="1"/>
    <col min="15604" max="15604" width="12.28515625" style="113" customWidth="1"/>
    <col min="15605" max="15605" width="14.85546875" style="113" customWidth="1"/>
    <col min="15606" max="15606" width="12.85546875" style="113" customWidth="1"/>
    <col min="15607" max="15607" width="14.85546875" style="113" customWidth="1"/>
    <col min="15608" max="15608" width="11.7109375" style="113" customWidth="1"/>
    <col min="15609" max="15609" width="14.28515625" style="113" customWidth="1"/>
    <col min="15610" max="15611" width="3.140625" style="113" customWidth="1"/>
    <col min="15612" max="15850" width="13.85546875" style="113"/>
    <col min="15851" max="15852" width="3.140625" style="113" customWidth="1"/>
    <col min="15853" max="15853" width="8.5703125" style="113" customWidth="1"/>
    <col min="15854" max="15854" width="10" style="113" customWidth="1"/>
    <col min="15855" max="15855" width="69.42578125" style="113" customWidth="1"/>
    <col min="15856" max="15856" width="10.42578125" style="113" customWidth="1"/>
    <col min="15857" max="15857" width="8.28515625" style="113" bestFit="1" customWidth="1"/>
    <col min="15858" max="15858" width="14.85546875" style="113" bestFit="1" customWidth="1"/>
    <col min="15859" max="15859" width="14.42578125" style="113" customWidth="1"/>
    <col min="15860" max="15860" width="12.28515625" style="113" customWidth="1"/>
    <col min="15861" max="15861" width="14.85546875" style="113" customWidth="1"/>
    <col min="15862" max="15862" width="12.85546875" style="113" customWidth="1"/>
    <col min="15863" max="15863" width="14.85546875" style="113" customWidth="1"/>
    <col min="15864" max="15864" width="11.7109375" style="113" customWidth="1"/>
    <col min="15865" max="15865" width="14.28515625" style="113" customWidth="1"/>
    <col min="15866" max="15867" width="3.140625" style="113" customWidth="1"/>
    <col min="15868" max="16106" width="13.85546875" style="113"/>
    <col min="16107" max="16108" width="3.140625" style="113" customWidth="1"/>
    <col min="16109" max="16109" width="8.5703125" style="113" customWidth="1"/>
    <col min="16110" max="16110" width="10" style="113" customWidth="1"/>
    <col min="16111" max="16111" width="69.42578125" style="113" customWidth="1"/>
    <col min="16112" max="16112" width="10.42578125" style="113" customWidth="1"/>
    <col min="16113" max="16113" width="8.28515625" style="113" bestFit="1" customWidth="1"/>
    <col min="16114" max="16114" width="14.85546875" style="113" bestFit="1" customWidth="1"/>
    <col min="16115" max="16115" width="14.42578125" style="113" customWidth="1"/>
    <col min="16116" max="16116" width="12.28515625" style="113" customWidth="1"/>
    <col min="16117" max="16117" width="14.85546875" style="113" customWidth="1"/>
    <col min="16118" max="16118" width="12.85546875" style="113" customWidth="1"/>
    <col min="16119" max="16119" width="14.85546875" style="113" customWidth="1"/>
    <col min="16120" max="16120" width="11.7109375" style="113" customWidth="1"/>
    <col min="16121" max="16121" width="14.28515625" style="113" customWidth="1"/>
    <col min="16122" max="16123" width="3.140625" style="113" customWidth="1"/>
    <col min="16124" max="16384" width="13.85546875" style="113"/>
  </cols>
  <sheetData>
    <row r="2" spans="3:10" s="105" customFormat="1" x14ac:dyDescent="0.2"/>
    <row r="3" spans="3:10" s="105" customFormat="1" x14ac:dyDescent="0.2">
      <c r="C3" s="712" t="s">
        <v>66</v>
      </c>
      <c r="D3" s="712"/>
      <c r="E3" s="712"/>
      <c r="F3" s="712"/>
      <c r="G3" s="712"/>
      <c r="H3" s="712"/>
      <c r="I3" s="712"/>
      <c r="J3" s="712"/>
    </row>
    <row r="4" spans="3:10" s="105" customFormat="1" ht="23.25" x14ac:dyDescent="0.35">
      <c r="C4" s="713" t="s">
        <v>67</v>
      </c>
      <c r="D4" s="713"/>
      <c r="E4" s="713"/>
      <c r="F4" s="713"/>
      <c r="G4" s="713"/>
      <c r="H4" s="713"/>
      <c r="I4" s="713"/>
      <c r="J4" s="713"/>
    </row>
    <row r="5" spans="3:10" s="105" customFormat="1" ht="18" x14ac:dyDescent="0.25">
      <c r="C5" s="106"/>
      <c r="D5" s="106"/>
      <c r="E5" s="106"/>
      <c r="F5" s="106"/>
      <c r="G5" s="106"/>
      <c r="H5" s="106"/>
      <c r="I5" s="106"/>
      <c r="J5" s="106"/>
    </row>
    <row r="6" spans="3:10" s="105" customFormat="1" ht="20.25" x14ac:dyDescent="0.3">
      <c r="C6" s="107"/>
      <c r="D6" s="107"/>
      <c r="E6" s="107"/>
      <c r="F6" s="107"/>
      <c r="G6" s="107"/>
      <c r="H6" s="107"/>
      <c r="I6" s="107"/>
      <c r="J6" s="107"/>
    </row>
    <row r="7" spans="3:10" x14ac:dyDescent="0.2">
      <c r="D7" s="108"/>
      <c r="E7" s="109" t="s">
        <v>68</v>
      </c>
      <c r="F7" s="515">
        <f>Datos!B7</f>
        <v>0</v>
      </c>
      <c r="G7" s="521"/>
      <c r="H7" s="521"/>
      <c r="I7" s="521"/>
    </row>
    <row r="8" spans="3:10" x14ac:dyDescent="0.2">
      <c r="D8" s="108"/>
      <c r="E8" s="109" t="s">
        <v>69</v>
      </c>
      <c r="F8" s="514">
        <f>Datos!B8</f>
        <v>0</v>
      </c>
      <c r="G8" s="522"/>
      <c r="H8" s="522"/>
      <c r="I8" s="522"/>
    </row>
    <row r="9" spans="3:10" x14ac:dyDescent="0.2">
      <c r="D9" s="108"/>
      <c r="E9" s="109" t="s">
        <v>70</v>
      </c>
      <c r="F9" s="514">
        <f>Datos!B20</f>
        <v>0</v>
      </c>
      <c r="G9" s="522"/>
      <c r="H9" s="522"/>
      <c r="I9" s="522"/>
    </row>
    <row r="10" spans="3:10" x14ac:dyDescent="0.2">
      <c r="D10" s="108" t="s">
        <v>71</v>
      </c>
      <c r="E10" s="109" t="s">
        <v>72</v>
      </c>
      <c r="F10" s="514">
        <f>Datos!B21</f>
        <v>0</v>
      </c>
      <c r="G10" s="522"/>
      <c r="H10" s="522"/>
      <c r="I10" s="522"/>
    </row>
    <row r="11" spans="3:10" ht="23.45" customHeight="1" x14ac:dyDescent="0.2">
      <c r="D11" s="108"/>
      <c r="E11" s="105"/>
      <c r="F11" s="105"/>
      <c r="G11" s="105"/>
      <c r="H11" s="105"/>
      <c r="I11" s="105"/>
    </row>
    <row r="12" spans="3:10" ht="13.15" customHeight="1" x14ac:dyDescent="0.2">
      <c r="D12" s="714" t="str">
        <f>+ " El abajo firmante (“El Contratista”), ha sido contratado por el Proyecto NuevaUnión, para dar cumplimiento al alcance de trabajo, y en los plazos determinados en la Orden de Servicio con código : " &amp;F7</f>
        <v xml:space="preserve"> El abajo firmante (“El Contratista”), ha sido contratado por el Proyecto NuevaUnión, para dar cumplimiento al alcance de trabajo, y en los plazos determinados en la Orden de Servicio con código : 0</v>
      </c>
      <c r="E12" s="714"/>
      <c r="F12" s="714"/>
      <c r="G12" s="714"/>
      <c r="H12" s="714"/>
      <c r="I12" s="714"/>
    </row>
    <row r="13" spans="3:10" ht="26.45" customHeight="1" x14ac:dyDescent="0.2">
      <c r="D13" s="714"/>
      <c r="E13" s="714"/>
      <c r="F13" s="714"/>
      <c r="G13" s="714"/>
      <c r="H13" s="714"/>
      <c r="I13" s="714"/>
    </row>
    <row r="14" spans="3:10" ht="32.450000000000003" customHeight="1" x14ac:dyDescent="0.2">
      <c r="D14" s="714" t="s">
        <v>73</v>
      </c>
      <c r="E14" s="714"/>
      <c r="F14" s="714"/>
      <c r="G14" s="714"/>
      <c r="H14" s="714"/>
      <c r="I14" s="714"/>
    </row>
    <row r="15" spans="3:10" x14ac:dyDescent="0.2">
      <c r="D15" s="110"/>
      <c r="E15" s="111"/>
      <c r="F15" s="111"/>
      <c r="G15" s="111"/>
      <c r="H15" s="111"/>
      <c r="I15" s="111"/>
    </row>
    <row r="16" spans="3:10" ht="34.9" customHeight="1" x14ac:dyDescent="0.2">
      <c r="D16" s="717" t="str">
        <f>"1. Al recibir la suma de "&amp;Datos!B42&amp;TEXT(Datos!C89,"0.0,00")&amp;" (el “Pago Final”), el Contratista renuncia y alza todos y cualesquiera derechos de retención, gravamen,  derechos preferentes o privilegios y otros embargos, prohibiciones o restricciones en el Proyecto o la Propiedad."</f>
        <v>1. Al recibir la suma de 00,00 (el “Pago Final”), el Contratista renuncia y alza todos y cualesquiera derechos de retención, gravamen,  derechos preferentes o privilegios y otros embargos, prohibiciones o restricciones en el Proyecto o la Propiedad.</v>
      </c>
      <c r="E16" s="717"/>
      <c r="F16" s="717"/>
      <c r="G16" s="717"/>
      <c r="H16" s="717"/>
      <c r="I16" s="717"/>
    </row>
    <row r="17" spans="2:12" ht="68.45" customHeight="1" x14ac:dyDescent="0.2">
      <c r="D17" s="717" t="s">
        <v>74</v>
      </c>
      <c r="E17" s="717"/>
      <c r="F17" s="717"/>
      <c r="G17" s="717"/>
      <c r="H17" s="717"/>
      <c r="I17" s="717"/>
      <c r="J17" s="112"/>
      <c r="L17" s="105"/>
    </row>
    <row r="18" spans="2:12" ht="52.9" customHeight="1" x14ac:dyDescent="0.2">
      <c r="D18" s="718" t="s">
        <v>75</v>
      </c>
      <c r="E18" s="718"/>
      <c r="F18" s="718"/>
      <c r="G18" s="718"/>
      <c r="H18" s="718"/>
      <c r="I18" s="718"/>
      <c r="J18" s="114"/>
      <c r="L18" s="105"/>
    </row>
    <row r="19" spans="2:12" ht="54" customHeight="1" x14ac:dyDescent="0.2">
      <c r="D19" s="719" t="s">
        <v>76</v>
      </c>
      <c r="E19" s="719"/>
      <c r="F19" s="719"/>
      <c r="G19" s="719"/>
      <c r="H19" s="719"/>
      <c r="I19" s="719"/>
      <c r="J19" s="115"/>
      <c r="L19" s="105"/>
    </row>
    <row r="20" spans="2:12" s="118" customFormat="1" ht="25.15" customHeight="1" x14ac:dyDescent="0.25">
      <c r="B20" s="116"/>
      <c r="C20" s="116"/>
      <c r="D20" s="715" t="s">
        <v>77</v>
      </c>
      <c r="E20" s="715"/>
      <c r="F20" s="715"/>
      <c r="G20" s="715"/>
      <c r="H20" s="715"/>
      <c r="I20" s="117">
        <f ca="1">TODAY()</f>
        <v>43043</v>
      </c>
      <c r="J20" s="116"/>
      <c r="K20" s="116"/>
    </row>
    <row r="21" spans="2:12" x14ac:dyDescent="0.2">
      <c r="D21" s="119" t="s">
        <v>71</v>
      </c>
      <c r="E21" s="119"/>
      <c r="F21" s="119"/>
      <c r="G21" s="119"/>
      <c r="H21" s="119"/>
      <c r="I21" s="119"/>
    </row>
    <row r="22" spans="2:12" x14ac:dyDescent="0.2">
      <c r="D22" s="329"/>
      <c r="E22" s="329"/>
      <c r="F22" s="329"/>
      <c r="G22" s="329"/>
      <c r="H22" s="329"/>
      <c r="I22" s="329"/>
    </row>
    <row r="23" spans="2:12" x14ac:dyDescent="0.2">
      <c r="D23" s="329"/>
      <c r="E23" s="329"/>
      <c r="F23" s="329"/>
      <c r="G23" s="329"/>
      <c r="H23" s="329"/>
      <c r="I23" s="329"/>
    </row>
    <row r="24" spans="2:12" x14ac:dyDescent="0.2">
      <c r="D24" s="119"/>
      <c r="E24" s="119"/>
      <c r="F24" s="119"/>
      <c r="G24" s="119"/>
      <c r="H24" s="119"/>
      <c r="I24" s="119"/>
    </row>
    <row r="25" spans="2:12" x14ac:dyDescent="0.2">
      <c r="D25" s="119"/>
      <c r="E25" s="119"/>
      <c r="F25" s="119"/>
      <c r="G25" s="119"/>
      <c r="H25" s="119"/>
      <c r="I25" s="119"/>
    </row>
    <row r="26" spans="2:12" x14ac:dyDescent="0.2">
      <c r="D26" s="119"/>
      <c r="E26" s="119"/>
      <c r="F26" s="119"/>
      <c r="G26" s="119"/>
      <c r="H26" s="119"/>
      <c r="I26" s="119"/>
    </row>
    <row r="27" spans="2:12" x14ac:dyDescent="0.2">
      <c r="D27" s="105"/>
      <c r="E27" s="716" t="s">
        <v>78</v>
      </c>
      <c r="F27" s="716"/>
      <c r="G27" s="105"/>
      <c r="H27" s="716" t="s">
        <v>78</v>
      </c>
      <c r="I27" s="716"/>
    </row>
    <row r="28" spans="2:12" ht="13.15" customHeight="1" x14ac:dyDescent="0.2">
      <c r="D28" s="111"/>
      <c r="E28" s="725" t="s">
        <v>79</v>
      </c>
      <c r="F28" s="725"/>
      <c r="G28" s="111"/>
      <c r="H28" s="726" t="str">
        <f>+'[6]1. Solicitud'!O27</f>
        <v>Walter Droppelmann</v>
      </c>
      <c r="I28" s="726"/>
    </row>
    <row r="29" spans="2:12" x14ac:dyDescent="0.2">
      <c r="D29" s="119"/>
      <c r="E29" s="720" t="s">
        <v>80</v>
      </c>
      <c r="F29" s="720"/>
      <c r="G29" s="119"/>
      <c r="H29" s="720" t="s">
        <v>80</v>
      </c>
      <c r="I29" s="720"/>
    </row>
    <row r="30" spans="2:12" x14ac:dyDescent="0.2">
      <c r="D30" s="119"/>
      <c r="E30" s="119"/>
      <c r="F30" s="119"/>
      <c r="G30" s="119"/>
      <c r="H30" s="119"/>
      <c r="I30" s="119"/>
    </row>
    <row r="31" spans="2:12" ht="31.5" customHeight="1" x14ac:dyDescent="0.2">
      <c r="D31" s="119"/>
      <c r="E31" s="119"/>
      <c r="F31" s="119"/>
      <c r="G31" s="119"/>
      <c r="H31" s="119"/>
      <c r="I31" s="119"/>
    </row>
    <row r="32" spans="2:12" x14ac:dyDescent="0.2">
      <c r="D32" s="119"/>
      <c r="E32" s="119"/>
      <c r="F32" s="119"/>
      <c r="G32" s="119"/>
      <c r="H32" s="120"/>
      <c r="I32" s="120"/>
    </row>
    <row r="33" spans="4:9" x14ac:dyDescent="0.2">
      <c r="D33" s="105"/>
      <c r="E33" s="716" t="s">
        <v>81</v>
      </c>
      <c r="F33" s="716"/>
      <c r="G33" s="105"/>
      <c r="H33" s="721"/>
      <c r="I33" s="721"/>
    </row>
    <row r="34" spans="4:9" ht="13.15" customHeight="1" x14ac:dyDescent="0.2">
      <c r="D34" s="105"/>
      <c r="E34" s="720">
        <f>F9</f>
        <v>0</v>
      </c>
      <c r="F34" s="720"/>
      <c r="G34" s="105"/>
      <c r="H34" s="722"/>
      <c r="I34" s="722"/>
    </row>
    <row r="35" spans="4:9" x14ac:dyDescent="0.2">
      <c r="D35" s="121" t="s">
        <v>82</v>
      </c>
      <c r="E35" s="723"/>
      <c r="F35" s="723"/>
      <c r="G35" s="121"/>
      <c r="H35" s="724"/>
      <c r="I35" s="724"/>
    </row>
    <row r="36" spans="4:9" x14ac:dyDescent="0.2">
      <c r="D36" s="121" t="s">
        <v>17</v>
      </c>
      <c r="E36" s="723"/>
      <c r="F36" s="723"/>
      <c r="G36" s="121"/>
      <c r="H36" s="724"/>
      <c r="I36" s="724"/>
    </row>
    <row r="37" spans="4:9" x14ac:dyDescent="0.2">
      <c r="D37" s="121"/>
      <c r="E37" s="122"/>
      <c r="F37" s="122"/>
      <c r="G37" s="121"/>
      <c r="H37" s="123"/>
      <c r="I37" s="123"/>
    </row>
    <row r="38" spans="4:9" x14ac:dyDescent="0.2">
      <c r="D38" s="119"/>
      <c r="E38" s="119"/>
      <c r="F38" s="119"/>
      <c r="G38" s="119"/>
      <c r="H38" s="119"/>
      <c r="I38" s="119"/>
    </row>
    <row r="39" spans="4:9" ht="24.6" customHeight="1" x14ac:dyDescent="0.2">
      <c r="D39" s="720" t="str">
        <f>" Los arriba firmantes, declaran que la información entregada en este documento es verdadera y exacta. Esta declaración fue otorgada como un acto libre en representación de la empresa " &amp;F9</f>
        <v xml:space="preserve"> Los arriba firmantes, declaran que la información entregada en este documento es verdadera y exacta. Esta declaración fue otorgada como un acto libre en representación de la empresa 0</v>
      </c>
      <c r="E39" s="720"/>
      <c r="F39" s="720"/>
      <c r="G39" s="720"/>
      <c r="H39" s="720"/>
      <c r="I39" s="720"/>
    </row>
    <row r="40" spans="4:9" ht="5.45" customHeight="1" x14ac:dyDescent="0.2">
      <c r="D40" s="111"/>
      <c r="E40" s="111"/>
      <c r="F40" s="111"/>
      <c r="G40" s="111"/>
      <c r="H40" s="111"/>
      <c r="I40" s="111"/>
    </row>
    <row r="41" spans="4:9" s="105" customFormat="1" x14ac:dyDescent="0.2"/>
  </sheetData>
  <mergeCells count="24">
    <mergeCell ref="E29:F29"/>
    <mergeCell ref="H29:I29"/>
    <mergeCell ref="E28:F28"/>
    <mergeCell ref="H28:I28"/>
    <mergeCell ref="E36:F36"/>
    <mergeCell ref="H36:I36"/>
    <mergeCell ref="D39:I39"/>
    <mergeCell ref="E33:F33"/>
    <mergeCell ref="H33:I33"/>
    <mergeCell ref="E34:F34"/>
    <mergeCell ref="H34:I34"/>
    <mergeCell ref="E35:F35"/>
    <mergeCell ref="H35:I35"/>
    <mergeCell ref="E27:F27"/>
    <mergeCell ref="H27:I27"/>
    <mergeCell ref="D16:I16"/>
    <mergeCell ref="D17:I17"/>
    <mergeCell ref="D18:I18"/>
    <mergeCell ref="D19:I19"/>
    <mergeCell ref="C3:J3"/>
    <mergeCell ref="C4:J4"/>
    <mergeCell ref="D12:I13"/>
    <mergeCell ref="D14:I14"/>
    <mergeCell ref="D20:H20"/>
  </mergeCells>
  <pageMargins left="0.70866141732283472" right="0.70866141732283472" top="0.74803149606299213" bottom="0.74803149606299213" header="0.31496062992125984" footer="0.31496062992125984"/>
  <pageSetup paperSize="9" scale="6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Q92"/>
  <sheetViews>
    <sheetView topLeftCell="A40" zoomScale="90" zoomScaleNormal="90" zoomScalePageLayoutView="109" workbookViewId="0">
      <selection activeCell="AE11" sqref="AE11"/>
    </sheetView>
  </sheetViews>
  <sheetFormatPr baseColWidth="10" defaultColWidth="12.42578125" defaultRowHeight="17.100000000000001" customHeight="1" x14ac:dyDescent="0.25"/>
  <cols>
    <col min="1" max="1" width="35.42578125" style="30" customWidth="1"/>
    <col min="2" max="2" width="32.85546875" style="259" customWidth="1"/>
    <col min="3" max="3" width="71.85546875" style="30" customWidth="1"/>
    <col min="4" max="4" width="18.140625" style="30" customWidth="1"/>
    <col min="5" max="5" width="68.140625" style="30" customWidth="1"/>
    <col min="6" max="6" width="12.42578125" style="30"/>
    <col min="7" max="7" width="4.5703125" style="30" customWidth="1"/>
    <col min="8" max="8" width="9.5703125" style="30" customWidth="1"/>
    <col min="9" max="9" width="32.5703125" style="30" customWidth="1"/>
    <col min="10" max="10" width="10.85546875" style="30" customWidth="1"/>
    <col min="11" max="11" width="10.7109375" style="30" customWidth="1"/>
    <col min="12" max="13" width="12.42578125" style="30"/>
    <col min="14" max="17" width="12.42578125" style="289"/>
    <col min="18" max="19" width="29.85546875" style="289" customWidth="1"/>
    <col min="20" max="20" width="23.28515625" style="30" customWidth="1"/>
    <col min="21" max="21" width="62.42578125" style="30" customWidth="1"/>
    <col min="22" max="36" width="12.42578125" style="30"/>
    <col min="37" max="37" width="16.140625" style="30" customWidth="1"/>
    <col min="38" max="16384" width="12.42578125" style="30"/>
  </cols>
  <sheetData>
    <row r="1" spans="1:43" ht="20.100000000000001" customHeight="1" x14ac:dyDescent="0.25">
      <c r="A1" s="255" t="s">
        <v>122</v>
      </c>
      <c r="B1" s="256"/>
      <c r="C1" s="257"/>
      <c r="D1" s="258" t="s">
        <v>123</v>
      </c>
      <c r="E1" s="259">
        <f>COUNTA(A:A)</f>
        <v>90</v>
      </c>
      <c r="G1" s="260" t="s">
        <v>124</v>
      </c>
      <c r="H1" s="261" t="s">
        <v>125</v>
      </c>
      <c r="I1" s="261" t="s">
        <v>126</v>
      </c>
      <c r="J1" s="260" t="s">
        <v>127</v>
      </c>
      <c r="K1" s="260" t="s">
        <v>102</v>
      </c>
      <c r="L1" s="260" t="s">
        <v>128</v>
      </c>
      <c r="M1" s="260" t="s">
        <v>46</v>
      </c>
      <c r="N1" s="262"/>
      <c r="O1" s="263"/>
      <c r="P1" s="263"/>
      <c r="Q1" s="264" t="s">
        <v>90</v>
      </c>
      <c r="R1" s="264" t="s">
        <v>129</v>
      </c>
      <c r="S1" s="265"/>
      <c r="X1" s="266" t="s">
        <v>130</v>
      </c>
      <c r="Y1" s="267" t="s">
        <v>131</v>
      </c>
      <c r="Z1" s="268"/>
      <c r="AA1" s="269" t="s">
        <v>132</v>
      </c>
      <c r="AC1" s="662" t="s">
        <v>354</v>
      </c>
      <c r="AD1" s="662" t="s">
        <v>355</v>
      </c>
      <c r="AE1" s="662" t="s">
        <v>314</v>
      </c>
      <c r="AF1" s="662" t="s">
        <v>92</v>
      </c>
      <c r="AG1" s="662" t="s">
        <v>356</v>
      </c>
      <c r="AJ1" s="662" t="s">
        <v>353</v>
      </c>
      <c r="AK1" s="662" t="s">
        <v>357</v>
      </c>
      <c r="AL1" s="662" t="s">
        <v>358</v>
      </c>
      <c r="AM1" s="662" t="s">
        <v>356</v>
      </c>
      <c r="AN1" s="662" t="s">
        <v>359</v>
      </c>
      <c r="AO1" s="662" t="s">
        <v>360</v>
      </c>
      <c r="AP1" s="662" t="s">
        <v>361</v>
      </c>
      <c r="AQ1" s="662" t="s">
        <v>362</v>
      </c>
    </row>
    <row r="2" spans="1:43" ht="17.100000000000001" customHeight="1" x14ac:dyDescent="0.25">
      <c r="A2" s="255" t="s">
        <v>133</v>
      </c>
      <c r="B2" s="256"/>
      <c r="C2" s="257"/>
      <c r="D2" s="258" t="s">
        <v>134</v>
      </c>
      <c r="E2" s="259">
        <f>B7</f>
        <v>0</v>
      </c>
      <c r="G2" s="270"/>
      <c r="H2" s="271"/>
      <c r="I2" s="271"/>
      <c r="J2" s="271"/>
      <c r="K2" s="271"/>
      <c r="L2" s="271"/>
      <c r="M2" s="271"/>
      <c r="N2" s="272"/>
      <c r="O2" s="273"/>
      <c r="P2" s="274"/>
      <c r="Q2" s="275"/>
      <c r="R2" s="275"/>
      <c r="S2" s="276"/>
      <c r="X2" s="266" t="s">
        <v>135</v>
      </c>
      <c r="Y2" s="267" t="s">
        <v>136</v>
      </c>
      <c r="Z2" s="268"/>
      <c r="AA2" s="269" t="s">
        <v>137</v>
      </c>
    </row>
    <row r="3" spans="1:43" ht="17.100000000000001" customHeight="1" x14ac:dyDescent="0.25">
      <c r="A3" s="277" t="s">
        <v>138</v>
      </c>
      <c r="B3" s="278"/>
      <c r="C3" s="257" t="s">
        <v>139</v>
      </c>
      <c r="D3" s="258" t="s">
        <v>140</v>
      </c>
      <c r="E3" s="259" t="s">
        <v>141</v>
      </c>
      <c r="G3" s="270"/>
      <c r="H3" s="271"/>
      <c r="I3" s="271"/>
      <c r="J3" s="271"/>
      <c r="K3" s="271"/>
      <c r="L3" s="271"/>
      <c r="M3" s="271"/>
      <c r="N3" s="272"/>
      <c r="O3" s="273"/>
      <c r="P3" s="274"/>
      <c r="Q3" s="275"/>
      <c r="R3" s="275"/>
      <c r="S3" s="279"/>
      <c r="T3" s="280" t="s">
        <v>142</v>
      </c>
      <c r="U3" s="281" t="s">
        <v>143</v>
      </c>
    </row>
    <row r="4" spans="1:43" ht="17.100000000000001" customHeight="1" x14ac:dyDescent="0.25">
      <c r="A4" s="282" t="s">
        <v>144</v>
      </c>
      <c r="B4" s="256"/>
      <c r="C4" s="283" t="s">
        <v>145</v>
      </c>
      <c r="G4" s="270"/>
      <c r="H4" s="271"/>
      <c r="I4" s="271"/>
      <c r="J4" s="271"/>
      <c r="K4" s="271"/>
      <c r="L4" s="271"/>
      <c r="M4" s="271"/>
      <c r="N4" s="272"/>
      <c r="O4" s="273"/>
      <c r="P4" s="274"/>
      <c r="Q4" s="275"/>
      <c r="R4" s="275"/>
      <c r="S4" s="276"/>
      <c r="U4" s="284" t="s">
        <v>146</v>
      </c>
    </row>
    <row r="5" spans="1:43" ht="17.100000000000001" customHeight="1" x14ac:dyDescent="0.25">
      <c r="A5" s="282" t="s">
        <v>147</v>
      </c>
      <c r="B5" s="256"/>
      <c r="C5" s="283" t="s">
        <v>148</v>
      </c>
      <c r="G5" s="270"/>
      <c r="H5" s="271"/>
      <c r="I5" s="271"/>
      <c r="J5" s="271"/>
      <c r="K5" s="271"/>
      <c r="L5" s="271"/>
      <c r="M5" s="271"/>
      <c r="N5" s="272"/>
      <c r="O5" s="273"/>
      <c r="P5" s="274"/>
      <c r="Q5" s="275"/>
      <c r="R5" s="275"/>
      <c r="S5" s="276"/>
      <c r="U5" s="284" t="s">
        <v>149</v>
      </c>
    </row>
    <row r="6" spans="1:43" ht="17.100000000000001" customHeight="1" x14ac:dyDescent="0.25">
      <c r="A6" s="282" t="s">
        <v>150</v>
      </c>
      <c r="B6" s="256"/>
      <c r="C6" s="283" t="s">
        <v>151</v>
      </c>
      <c r="G6" s="270"/>
      <c r="H6" s="271"/>
      <c r="I6" s="271"/>
      <c r="J6" s="271"/>
      <c r="K6" s="271"/>
      <c r="L6" s="271"/>
      <c r="M6" s="271"/>
      <c r="N6" s="272"/>
      <c r="O6" s="273"/>
      <c r="P6" s="274"/>
      <c r="Q6" s="275"/>
      <c r="R6" s="275"/>
      <c r="S6" s="276"/>
      <c r="U6" s="284" t="s">
        <v>152</v>
      </c>
    </row>
    <row r="7" spans="1:43" ht="17.100000000000001" customHeight="1" x14ac:dyDescent="0.25">
      <c r="A7" s="277" t="s">
        <v>153</v>
      </c>
      <c r="B7" s="278"/>
      <c r="C7" s="257" t="s">
        <v>154</v>
      </c>
      <c r="G7" s="270"/>
      <c r="H7" s="271"/>
      <c r="I7" s="271"/>
      <c r="J7" s="271"/>
      <c r="K7" s="271"/>
      <c r="L7" s="271"/>
      <c r="M7" s="271"/>
      <c r="N7" s="272"/>
      <c r="O7" s="273"/>
      <c r="P7" s="274"/>
      <c r="Q7" s="275"/>
      <c r="R7" s="275"/>
      <c r="S7" s="276"/>
      <c r="U7" s="284" t="s">
        <v>155</v>
      </c>
    </row>
    <row r="8" spans="1:43" ht="17.100000000000001" customHeight="1" x14ac:dyDescent="0.25">
      <c r="A8" s="277" t="s">
        <v>156</v>
      </c>
      <c r="B8" s="278"/>
      <c r="C8" s="257" t="s">
        <v>157</v>
      </c>
      <c r="G8" s="270"/>
      <c r="H8" s="271"/>
      <c r="I8" s="271"/>
      <c r="J8" s="271"/>
      <c r="K8" s="271"/>
      <c r="L8" s="271"/>
      <c r="M8" s="271"/>
      <c r="N8" s="272"/>
      <c r="O8" s="273"/>
      <c r="P8" s="274"/>
      <c r="Q8" s="275"/>
      <c r="R8" s="275"/>
      <c r="S8" s="276"/>
    </row>
    <row r="9" spans="1:43" ht="17.100000000000001" customHeight="1" x14ac:dyDescent="0.25">
      <c r="A9" s="277" t="s">
        <v>158</v>
      </c>
      <c r="B9" s="256"/>
      <c r="C9" s="257"/>
      <c r="G9" s="270"/>
      <c r="H9" s="271"/>
      <c r="I9" s="271"/>
      <c r="J9" s="271"/>
      <c r="K9" s="271"/>
      <c r="L9" s="271"/>
      <c r="M9" s="271"/>
      <c r="N9" s="272"/>
      <c r="O9" s="273"/>
      <c r="P9" s="274"/>
      <c r="Q9" s="275"/>
      <c r="R9" s="275"/>
      <c r="S9" s="276"/>
    </row>
    <row r="10" spans="1:43" ht="17.100000000000001" customHeight="1" x14ac:dyDescent="0.25">
      <c r="A10" s="255" t="s">
        <v>159</v>
      </c>
      <c r="B10" s="256"/>
      <c r="C10" s="257"/>
      <c r="G10" s="270"/>
      <c r="H10" s="271"/>
      <c r="I10" s="271"/>
      <c r="J10" s="271"/>
      <c r="K10" s="271"/>
      <c r="L10" s="271"/>
      <c r="M10" s="271"/>
      <c r="N10" s="272"/>
      <c r="O10" s="273"/>
      <c r="P10" s="274"/>
      <c r="Q10" s="275"/>
      <c r="R10" s="275"/>
      <c r="S10" s="276"/>
    </row>
    <row r="11" spans="1:43" ht="17.100000000000001" customHeight="1" x14ac:dyDescent="0.25">
      <c r="A11" s="255" t="s">
        <v>160</v>
      </c>
      <c r="B11" s="256"/>
      <c r="C11" s="257"/>
      <c r="G11" s="270"/>
      <c r="H11" s="271"/>
      <c r="I11" s="271"/>
      <c r="J11" s="271"/>
      <c r="K11" s="271"/>
      <c r="L11" s="271"/>
      <c r="M11" s="271"/>
      <c r="N11" s="272"/>
      <c r="O11" s="273"/>
      <c r="P11" s="274"/>
      <c r="Q11" s="275"/>
      <c r="R11" s="275"/>
      <c r="S11" s="276"/>
    </row>
    <row r="12" spans="1:43" ht="17.100000000000001" customHeight="1" x14ac:dyDescent="0.25">
      <c r="A12" s="255" t="s">
        <v>161</v>
      </c>
      <c r="B12" s="256"/>
      <c r="C12" s="257"/>
      <c r="G12" s="270"/>
      <c r="H12" s="271"/>
      <c r="I12" s="271"/>
      <c r="J12" s="271"/>
      <c r="K12" s="271"/>
      <c r="L12" s="271"/>
      <c r="M12" s="271"/>
      <c r="N12" s="272"/>
      <c r="O12" s="273"/>
      <c r="P12" s="274"/>
      <c r="Q12" s="275"/>
      <c r="R12" s="275"/>
      <c r="S12" s="276"/>
    </row>
    <row r="13" spans="1:43" ht="17.100000000000001" customHeight="1" thickBot="1" x14ac:dyDescent="0.3">
      <c r="A13" s="282" t="s">
        <v>162</v>
      </c>
      <c r="B13" s="256"/>
      <c r="C13" s="285">
        <v>42793</v>
      </c>
      <c r="G13" s="270"/>
      <c r="H13" s="271"/>
      <c r="I13" s="271"/>
      <c r="J13" s="271"/>
      <c r="K13" s="271"/>
      <c r="L13" s="286"/>
      <c r="M13" s="286"/>
      <c r="N13" s="272"/>
      <c r="O13" s="273"/>
      <c r="P13" s="274"/>
      <c r="Q13" s="275"/>
      <c r="R13" s="275"/>
      <c r="S13" s="276"/>
    </row>
    <row r="14" spans="1:43" ht="17.100000000000001" customHeight="1" thickBot="1" x14ac:dyDescent="0.3">
      <c r="A14" s="282" t="s">
        <v>163</v>
      </c>
      <c r="B14" s="256"/>
      <c r="C14" s="257" t="s">
        <v>164</v>
      </c>
      <c r="L14" s="287" t="s">
        <v>165</v>
      </c>
      <c r="M14" s="288"/>
    </row>
    <row r="15" spans="1:43" ht="17.100000000000001" customHeight="1" x14ac:dyDescent="0.25">
      <c r="A15" s="282" t="s">
        <v>166</v>
      </c>
      <c r="B15" s="256"/>
      <c r="C15" s="283" t="s">
        <v>167</v>
      </c>
      <c r="F15" s="30" t="s">
        <v>168</v>
      </c>
    </row>
    <row r="16" spans="1:43" ht="17.100000000000001" customHeight="1" x14ac:dyDescent="0.25">
      <c r="A16" s="282" t="s">
        <v>169</v>
      </c>
      <c r="B16" s="256"/>
      <c r="C16" s="283"/>
    </row>
    <row r="17" spans="1:3" ht="17.100000000000001" customHeight="1" x14ac:dyDescent="0.25">
      <c r="A17" s="282" t="s">
        <v>170</v>
      </c>
      <c r="B17" s="256"/>
      <c r="C17" s="257" t="s">
        <v>171</v>
      </c>
    </row>
    <row r="18" spans="1:3" ht="17.100000000000001" customHeight="1" x14ac:dyDescent="0.25">
      <c r="A18" s="282" t="s">
        <v>172</v>
      </c>
      <c r="B18" s="256"/>
      <c r="C18" s="283" t="s">
        <v>173</v>
      </c>
    </row>
    <row r="19" spans="1:3" ht="17.100000000000001" customHeight="1" x14ac:dyDescent="0.25">
      <c r="A19" s="282" t="s">
        <v>174</v>
      </c>
      <c r="B19" s="256"/>
      <c r="C19" s="283"/>
    </row>
    <row r="20" spans="1:3" ht="17.100000000000001" customHeight="1" x14ac:dyDescent="0.25">
      <c r="A20" s="282" t="s">
        <v>175</v>
      </c>
      <c r="B20" s="278"/>
      <c r="C20" s="257" t="s">
        <v>176</v>
      </c>
    </row>
    <row r="21" spans="1:3" ht="17.100000000000001" customHeight="1" x14ac:dyDescent="0.25">
      <c r="A21" s="282" t="s">
        <v>177</v>
      </c>
      <c r="B21" s="256"/>
      <c r="C21" s="257" t="s">
        <v>178</v>
      </c>
    </row>
    <row r="22" spans="1:3" ht="17.100000000000001" customHeight="1" x14ac:dyDescent="0.25">
      <c r="A22" s="282" t="s">
        <v>179</v>
      </c>
      <c r="B22" s="256"/>
      <c r="C22" s="257"/>
    </row>
    <row r="23" spans="1:3" ht="17.100000000000001" customHeight="1" x14ac:dyDescent="0.25">
      <c r="A23" s="282" t="s">
        <v>180</v>
      </c>
      <c r="B23" s="278"/>
      <c r="C23" s="290" t="s">
        <v>181</v>
      </c>
    </row>
    <row r="24" spans="1:3" ht="17.100000000000001" customHeight="1" x14ac:dyDescent="0.25">
      <c r="A24" s="282" t="s">
        <v>182</v>
      </c>
      <c r="B24" s="278"/>
      <c r="C24" s="257" t="s">
        <v>183</v>
      </c>
    </row>
    <row r="25" spans="1:3" ht="17.100000000000001" customHeight="1" x14ac:dyDescent="0.25">
      <c r="A25" s="282" t="s">
        <v>184</v>
      </c>
      <c r="B25" s="278"/>
      <c r="C25" s="257" t="s">
        <v>183</v>
      </c>
    </row>
    <row r="26" spans="1:3" ht="17.100000000000001" customHeight="1" x14ac:dyDescent="0.25">
      <c r="A26" s="291" t="s">
        <v>185</v>
      </c>
      <c r="B26" s="256"/>
      <c r="C26" s="257"/>
    </row>
    <row r="27" spans="1:3" ht="17.100000000000001" customHeight="1" x14ac:dyDescent="0.25">
      <c r="A27" s="291" t="s">
        <v>186</v>
      </c>
      <c r="B27" s="256"/>
      <c r="C27" s="257"/>
    </row>
    <row r="28" spans="1:3" ht="17.100000000000001" customHeight="1" x14ac:dyDescent="0.25">
      <c r="A28" s="282" t="s">
        <v>187</v>
      </c>
      <c r="B28" s="278"/>
      <c r="C28" s="257" t="s">
        <v>132</v>
      </c>
    </row>
    <row r="29" spans="1:3" ht="17.100000000000001" customHeight="1" x14ac:dyDescent="0.25">
      <c r="A29" s="282" t="s">
        <v>188</v>
      </c>
      <c r="B29" s="256"/>
      <c r="C29" s="257" t="s">
        <v>189</v>
      </c>
    </row>
    <row r="30" spans="1:3" ht="17.100000000000001" customHeight="1" x14ac:dyDescent="0.25">
      <c r="A30" s="282" t="s">
        <v>190</v>
      </c>
      <c r="B30" s="256"/>
      <c r="C30" s="257" t="s">
        <v>191</v>
      </c>
    </row>
    <row r="31" spans="1:3" ht="17.100000000000001" customHeight="1" x14ac:dyDescent="0.25">
      <c r="A31" s="282" t="s">
        <v>192</v>
      </c>
      <c r="B31" s="256"/>
      <c r="C31" s="257" t="s">
        <v>191</v>
      </c>
    </row>
    <row r="32" spans="1:3" ht="17.100000000000001" customHeight="1" x14ac:dyDescent="0.25">
      <c r="A32" s="282" t="s">
        <v>193</v>
      </c>
      <c r="B32" s="256"/>
      <c r="C32" s="257" t="s">
        <v>194</v>
      </c>
    </row>
    <row r="33" spans="1:5" ht="17.100000000000001" customHeight="1" x14ac:dyDescent="0.25">
      <c r="A33" s="282" t="s">
        <v>195</v>
      </c>
      <c r="B33" s="256"/>
      <c r="C33" s="285">
        <v>42738</v>
      </c>
    </row>
    <row r="34" spans="1:5" ht="17.100000000000001" customHeight="1" x14ac:dyDescent="0.25">
      <c r="A34" s="282" t="s">
        <v>196</v>
      </c>
      <c r="B34" s="256"/>
      <c r="C34" s="283" t="s">
        <v>197</v>
      </c>
    </row>
    <row r="35" spans="1:5" ht="17.100000000000001" customHeight="1" x14ac:dyDescent="0.25">
      <c r="A35" s="282" t="s">
        <v>198</v>
      </c>
      <c r="B35" s="256"/>
      <c r="C35" s="257" t="s">
        <v>132</v>
      </c>
    </row>
    <row r="36" spans="1:5" ht="17.100000000000001" customHeight="1" x14ac:dyDescent="0.25">
      <c r="A36" s="277" t="s">
        <v>199</v>
      </c>
      <c r="B36" s="256"/>
      <c r="C36" s="285">
        <v>42793</v>
      </c>
    </row>
    <row r="37" spans="1:5" ht="17.100000000000001" customHeight="1" x14ac:dyDescent="0.25">
      <c r="A37" s="277" t="s">
        <v>200</v>
      </c>
      <c r="B37" s="256"/>
      <c r="C37" s="285"/>
    </row>
    <row r="38" spans="1:5" ht="17.100000000000001" customHeight="1" x14ac:dyDescent="0.25">
      <c r="A38" s="277" t="s">
        <v>201</v>
      </c>
      <c r="B38" s="256"/>
      <c r="C38" s="285">
        <v>42892</v>
      </c>
    </row>
    <row r="39" spans="1:5" ht="17.100000000000001" customHeight="1" x14ac:dyDescent="0.25">
      <c r="A39" s="277" t="s">
        <v>202</v>
      </c>
      <c r="B39" s="256"/>
      <c r="C39" s="285"/>
    </row>
    <row r="40" spans="1:5" ht="17.100000000000001" customHeight="1" x14ac:dyDescent="0.25">
      <c r="A40" s="282" t="s">
        <v>203</v>
      </c>
      <c r="B40" s="256"/>
      <c r="C40" s="292">
        <v>100</v>
      </c>
    </row>
    <row r="41" spans="1:5" ht="17.100000000000001" customHeight="1" x14ac:dyDescent="0.25">
      <c r="A41" s="282" t="s">
        <v>204</v>
      </c>
      <c r="B41" s="256"/>
      <c r="C41" s="283" t="s">
        <v>205</v>
      </c>
    </row>
    <row r="42" spans="1:5" ht="17.100000000000001" customHeight="1" x14ac:dyDescent="0.25">
      <c r="A42" s="277" t="s">
        <v>206</v>
      </c>
      <c r="B42" s="256"/>
      <c r="C42" s="293"/>
      <c r="D42" s="257" t="s">
        <v>207</v>
      </c>
    </row>
    <row r="43" spans="1:5" ht="17.100000000000001" customHeight="1" x14ac:dyDescent="0.25">
      <c r="A43" s="277" t="s">
        <v>208</v>
      </c>
      <c r="B43" s="256"/>
      <c r="C43" s="293"/>
      <c r="D43" s="294">
        <v>2342728572</v>
      </c>
      <c r="E43" s="295" t="s">
        <v>209</v>
      </c>
    </row>
    <row r="44" spans="1:5" ht="17.100000000000001" customHeight="1" x14ac:dyDescent="0.25">
      <c r="A44" s="277" t="s">
        <v>210</v>
      </c>
      <c r="B44" s="256"/>
      <c r="C44" s="293"/>
      <c r="D44" s="296"/>
      <c r="E44" s="297"/>
    </row>
    <row r="45" spans="1:5" ht="17.100000000000001" customHeight="1" x14ac:dyDescent="0.25">
      <c r="A45" s="282" t="s">
        <v>211</v>
      </c>
      <c r="B45" s="256"/>
      <c r="C45" s="257" t="s">
        <v>212</v>
      </c>
    </row>
    <row r="46" spans="1:5" ht="17.100000000000001" customHeight="1" x14ac:dyDescent="0.25">
      <c r="A46" s="282" t="s">
        <v>213</v>
      </c>
      <c r="B46" s="256"/>
      <c r="C46" s="257" t="s">
        <v>214</v>
      </c>
    </row>
    <row r="47" spans="1:5" ht="17.100000000000001" customHeight="1" x14ac:dyDescent="0.25">
      <c r="A47" s="282" t="s">
        <v>215</v>
      </c>
      <c r="B47" s="256"/>
      <c r="C47" s="257" t="s">
        <v>216</v>
      </c>
    </row>
    <row r="48" spans="1:5" ht="17.100000000000001" customHeight="1" x14ac:dyDescent="0.25">
      <c r="A48" s="282" t="s">
        <v>217</v>
      </c>
      <c r="B48" s="256"/>
      <c r="C48" s="257" t="s">
        <v>178</v>
      </c>
    </row>
    <row r="49" spans="1:6" ht="17.100000000000001" customHeight="1" x14ac:dyDescent="0.25">
      <c r="A49" s="282" t="s">
        <v>218</v>
      </c>
      <c r="B49" s="256"/>
      <c r="C49" s="257" t="s">
        <v>219</v>
      </c>
    </row>
    <row r="50" spans="1:6" ht="17.100000000000001" customHeight="1" x14ac:dyDescent="0.25">
      <c r="A50" s="282" t="s">
        <v>220</v>
      </c>
      <c r="B50" s="298"/>
      <c r="C50" s="257" t="s">
        <v>207</v>
      </c>
    </row>
    <row r="51" spans="1:6" ht="17.100000000000001" customHeight="1" x14ac:dyDescent="0.25">
      <c r="A51" s="282" t="s">
        <v>221</v>
      </c>
      <c r="B51" s="298"/>
      <c r="C51" s="257" t="s">
        <v>222</v>
      </c>
      <c r="D51" s="295" t="s">
        <v>223</v>
      </c>
      <c r="E51" s="267" t="s">
        <v>224</v>
      </c>
      <c r="F51" s="269" t="s">
        <v>225</v>
      </c>
    </row>
    <row r="52" spans="1:6" ht="17.100000000000001" customHeight="1" x14ac:dyDescent="0.25">
      <c r="A52" s="282" t="s">
        <v>226</v>
      </c>
      <c r="B52" s="298"/>
      <c r="C52" s="257"/>
      <c r="D52" s="295"/>
      <c r="E52" s="299"/>
      <c r="F52" s="300"/>
    </row>
    <row r="53" spans="1:6" ht="17.100000000000001" customHeight="1" x14ac:dyDescent="0.25">
      <c r="A53" s="282" t="s">
        <v>227</v>
      </c>
      <c r="B53" s="298"/>
      <c r="C53" s="257" t="s">
        <v>228</v>
      </c>
      <c r="D53" s="295" t="s">
        <v>229</v>
      </c>
    </row>
    <row r="54" spans="1:6" ht="17.100000000000001" customHeight="1" x14ac:dyDescent="0.25">
      <c r="A54" s="282" t="s">
        <v>230</v>
      </c>
      <c r="B54" s="256"/>
      <c r="C54" s="257"/>
      <c r="D54" s="297"/>
    </row>
    <row r="55" spans="1:6" ht="17.100000000000001" customHeight="1" x14ac:dyDescent="0.25">
      <c r="A55" s="282" t="s">
        <v>231</v>
      </c>
      <c r="B55" s="256"/>
      <c r="C55" s="301">
        <v>42982</v>
      </c>
    </row>
    <row r="56" spans="1:6" ht="17.100000000000001" customHeight="1" x14ac:dyDescent="0.25">
      <c r="A56" s="282"/>
      <c r="B56" s="256"/>
      <c r="C56" s="301"/>
    </row>
    <row r="57" spans="1:6" ht="17.100000000000001" customHeight="1" x14ac:dyDescent="0.25">
      <c r="A57" s="282" t="s">
        <v>232</v>
      </c>
      <c r="B57" s="256"/>
      <c r="C57" s="257" t="s">
        <v>233</v>
      </c>
      <c r="D57" s="295" t="s">
        <v>234</v>
      </c>
      <c r="E57" s="302" t="s">
        <v>235</v>
      </c>
      <c r="F57" s="303" t="s">
        <v>225</v>
      </c>
    </row>
    <row r="58" spans="1:6" ht="17.100000000000001" customHeight="1" x14ac:dyDescent="0.25">
      <c r="A58" s="304" t="s">
        <v>236</v>
      </c>
      <c r="B58" s="256"/>
      <c r="C58" s="257" t="s">
        <v>237</v>
      </c>
    </row>
    <row r="59" spans="1:6" ht="17.100000000000001" customHeight="1" x14ac:dyDescent="0.25">
      <c r="A59" s="304" t="s">
        <v>238</v>
      </c>
      <c r="B59" s="256"/>
      <c r="C59" s="257" t="s">
        <v>239</v>
      </c>
    </row>
    <row r="60" spans="1:6" ht="17.100000000000001" customHeight="1" x14ac:dyDescent="0.25">
      <c r="A60" s="282" t="s">
        <v>240</v>
      </c>
      <c r="B60" s="256"/>
      <c r="C60" s="257" t="s">
        <v>241</v>
      </c>
    </row>
    <row r="61" spans="1:6" ht="17.100000000000001" customHeight="1" x14ac:dyDescent="0.25">
      <c r="A61" s="282" t="s">
        <v>242</v>
      </c>
      <c r="B61" s="256"/>
      <c r="C61" s="283" t="s">
        <v>243</v>
      </c>
    </row>
    <row r="62" spans="1:6" ht="17.100000000000001" customHeight="1" x14ac:dyDescent="0.25">
      <c r="A62" s="282" t="s">
        <v>244</v>
      </c>
      <c r="B62" s="256"/>
      <c r="C62" s="283" t="s">
        <v>245</v>
      </c>
    </row>
    <row r="63" spans="1:6" ht="17.100000000000001" customHeight="1" x14ac:dyDescent="0.25">
      <c r="A63" s="282" t="s">
        <v>246</v>
      </c>
      <c r="B63" s="256"/>
      <c r="C63" s="257" t="s">
        <v>247</v>
      </c>
    </row>
    <row r="64" spans="1:6" ht="17.100000000000001" customHeight="1" x14ac:dyDescent="0.25">
      <c r="A64" s="282" t="s">
        <v>248</v>
      </c>
      <c r="B64" s="256"/>
      <c r="C64" s="257" t="s">
        <v>137</v>
      </c>
    </row>
    <row r="65" spans="1:4" ht="17.100000000000001" customHeight="1" x14ac:dyDescent="0.25">
      <c r="A65" s="282" t="s">
        <v>249</v>
      </c>
      <c r="B65" s="256"/>
      <c r="C65" s="305" t="s">
        <v>250</v>
      </c>
    </row>
    <row r="66" spans="1:4" ht="17.100000000000001" customHeight="1" x14ac:dyDescent="0.25">
      <c r="A66" s="282" t="s">
        <v>251</v>
      </c>
      <c r="B66" s="256"/>
      <c r="C66" s="306">
        <v>42163</v>
      </c>
    </row>
    <row r="67" spans="1:4" ht="17.100000000000001" customHeight="1" x14ac:dyDescent="0.25">
      <c r="A67" s="282" t="s">
        <v>252</v>
      </c>
      <c r="B67" s="256"/>
      <c r="C67" s="257" t="s">
        <v>253</v>
      </c>
    </row>
    <row r="68" spans="1:4" ht="17.100000000000001" customHeight="1" x14ac:dyDescent="0.25">
      <c r="A68" s="282" t="s">
        <v>254</v>
      </c>
      <c r="B68" s="256"/>
      <c r="C68" s="257" t="s">
        <v>255</v>
      </c>
    </row>
    <row r="69" spans="1:4" ht="17.100000000000001" customHeight="1" x14ac:dyDescent="0.25">
      <c r="A69" s="282" t="s">
        <v>256</v>
      </c>
      <c r="B69" s="256"/>
      <c r="C69" s="306">
        <v>40809</v>
      </c>
    </row>
    <row r="70" spans="1:4" ht="17.100000000000001" customHeight="1" x14ac:dyDescent="0.25">
      <c r="A70" s="282" t="s">
        <v>257</v>
      </c>
      <c r="B70" s="256"/>
      <c r="C70" s="257" t="s">
        <v>258</v>
      </c>
    </row>
    <row r="71" spans="1:4" ht="17.100000000000001" customHeight="1" x14ac:dyDescent="0.25">
      <c r="A71" s="282" t="s">
        <v>259</v>
      </c>
      <c r="B71" s="256"/>
      <c r="C71" s="257" t="s">
        <v>260</v>
      </c>
    </row>
    <row r="72" spans="1:4" ht="17.100000000000001" customHeight="1" x14ac:dyDescent="0.25">
      <c r="A72" s="282" t="s">
        <v>261</v>
      </c>
      <c r="B72" s="256"/>
      <c r="C72" s="257" t="s">
        <v>262</v>
      </c>
    </row>
    <row r="73" spans="1:4" ht="17.100000000000001" customHeight="1" x14ac:dyDescent="0.25">
      <c r="A73" s="282" t="s">
        <v>263</v>
      </c>
      <c r="B73" s="256"/>
      <c r="C73" s="306">
        <v>42761</v>
      </c>
    </row>
    <row r="74" spans="1:4" ht="31.5" x14ac:dyDescent="0.25">
      <c r="A74" s="282" t="s">
        <v>264</v>
      </c>
      <c r="B74" s="256"/>
      <c r="C74" s="257" t="s">
        <v>265</v>
      </c>
    </row>
    <row r="75" spans="1:4" ht="47.25" x14ac:dyDescent="0.25">
      <c r="A75" s="307" t="s">
        <v>266</v>
      </c>
      <c r="B75" s="256"/>
      <c r="C75" s="257" t="s">
        <v>267</v>
      </c>
    </row>
    <row r="76" spans="1:4" ht="31.5" x14ac:dyDescent="0.25">
      <c r="A76" s="282" t="s">
        <v>268</v>
      </c>
      <c r="B76" s="256"/>
      <c r="C76" s="257" t="s">
        <v>269</v>
      </c>
    </row>
    <row r="77" spans="1:4" ht="94.5" x14ac:dyDescent="0.25">
      <c r="A77" s="308" t="s">
        <v>270</v>
      </c>
      <c r="B77" s="256"/>
      <c r="C77" s="257" t="s">
        <v>271</v>
      </c>
      <c r="D77" s="309" t="s">
        <v>272</v>
      </c>
    </row>
    <row r="78" spans="1:4" ht="17.100000000000001" customHeight="1" x14ac:dyDescent="0.25">
      <c r="A78" s="304" t="s">
        <v>287</v>
      </c>
      <c r="B78" s="256"/>
      <c r="C78" s="257" t="s">
        <v>212</v>
      </c>
    </row>
    <row r="79" spans="1:4" ht="17.100000000000001" customHeight="1" x14ac:dyDescent="0.25">
      <c r="A79" s="282" t="s">
        <v>273</v>
      </c>
      <c r="B79" s="256"/>
      <c r="C79" s="257" t="s">
        <v>274</v>
      </c>
      <c r="D79" s="310" t="s">
        <v>275</v>
      </c>
    </row>
    <row r="80" spans="1:4" ht="17.100000000000001" customHeight="1" x14ac:dyDescent="0.25">
      <c r="A80" s="311" t="s">
        <v>276</v>
      </c>
      <c r="B80" s="256"/>
      <c r="C80" s="312"/>
    </row>
    <row r="81" spans="1:3" ht="17.100000000000001" customHeight="1" x14ac:dyDescent="0.25">
      <c r="A81" s="313" t="s">
        <v>277</v>
      </c>
      <c r="B81" s="256"/>
    </row>
    <row r="82" spans="1:3" ht="17.100000000000001" customHeight="1" x14ac:dyDescent="0.25">
      <c r="A82" s="313" t="s">
        <v>278</v>
      </c>
      <c r="B82" s="256"/>
    </row>
    <row r="83" spans="1:3" ht="17.100000000000001" customHeight="1" x14ac:dyDescent="0.25">
      <c r="A83" s="313" t="s">
        <v>279</v>
      </c>
      <c r="B83" s="256"/>
    </row>
    <row r="84" spans="1:3" ht="17.100000000000001" customHeight="1" x14ac:dyDescent="0.25">
      <c r="A84" s="314" t="s">
        <v>280</v>
      </c>
      <c r="B84" s="256"/>
    </row>
    <row r="85" spans="1:3" ht="17.100000000000001" customHeight="1" x14ac:dyDescent="0.25">
      <c r="A85" s="318" t="s">
        <v>286</v>
      </c>
      <c r="B85" s="317"/>
    </row>
    <row r="86" spans="1:3" ht="17.100000000000001" customHeight="1" x14ac:dyDescent="0.25">
      <c r="A86" s="318" t="s">
        <v>284</v>
      </c>
      <c r="B86" s="317"/>
    </row>
    <row r="87" spans="1:3" ht="17.100000000000001" customHeight="1" x14ac:dyDescent="0.25">
      <c r="A87" s="318" t="s">
        <v>285</v>
      </c>
      <c r="B87" s="317"/>
    </row>
    <row r="88" spans="1:3" ht="17.100000000000001" customHeight="1" x14ac:dyDescent="0.25">
      <c r="A88" s="318" t="s">
        <v>289</v>
      </c>
      <c r="B88" s="317"/>
    </row>
    <row r="89" spans="1:3" ht="17.100000000000001" customHeight="1" x14ac:dyDescent="0.25">
      <c r="A89" s="318" t="s">
        <v>290</v>
      </c>
      <c r="B89" s="317"/>
      <c r="C89" s="30">
        <f>B89+B43</f>
        <v>0</v>
      </c>
    </row>
    <row r="90" spans="1:3" ht="17.100000000000001" customHeight="1" x14ac:dyDescent="0.25">
      <c r="A90" s="318" t="s">
        <v>291</v>
      </c>
      <c r="B90" s="317"/>
    </row>
    <row r="91" spans="1:3" ht="17.100000000000001" customHeight="1" x14ac:dyDescent="0.25">
      <c r="A91" s="318" t="s">
        <v>292</v>
      </c>
      <c r="B91" s="317"/>
    </row>
    <row r="92" spans="1:3" ht="17.100000000000001" customHeight="1" x14ac:dyDescent="0.25">
      <c r="C92" s="30" t="s">
        <v>293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28</vt:i4>
      </vt:variant>
    </vt:vector>
  </HeadingPairs>
  <TitlesOfParts>
    <vt:vector size="35" baseType="lpstr">
      <vt:lpstr>Ficha Contrato</vt:lpstr>
      <vt:lpstr>Caratula EDP Final</vt:lpstr>
      <vt:lpstr>EDP Dev Retenciones</vt:lpstr>
      <vt:lpstr>ACTA DE RECEP</vt:lpstr>
      <vt:lpstr>Finiquito OS</vt:lpstr>
      <vt:lpstr>Datos</vt:lpstr>
      <vt:lpstr>Hoja1</vt:lpstr>
      <vt:lpstr>'Caratula EDP Final'!Área_de_impresión</vt:lpstr>
      <vt:lpstr>'Ficha Contrato'!Área_de_impresión</vt:lpstr>
      <vt:lpstr>'Ficha Contrato'!C_Costo</vt:lpstr>
      <vt:lpstr>'Ficha Contrato'!Ccosto</vt:lpstr>
      <vt:lpstr>'Ficha Contrato'!CodCtto</vt:lpstr>
      <vt:lpstr>'Ficha Contrato'!CordTecCtta</vt:lpstr>
      <vt:lpstr>'Ficha Contrato'!FchIniCtto</vt:lpstr>
      <vt:lpstr>'Ficha Contrato'!FchTermCtto</vt:lpstr>
      <vt:lpstr>'Ficha Contrato'!Fecha_Boleta</vt:lpstr>
      <vt:lpstr>'Ficha Contrato'!GerenUsuaria</vt:lpstr>
      <vt:lpstr>'Ficha Contrato'!Mdte</vt:lpstr>
      <vt:lpstr>'Ficha Contrato'!MonedCtto</vt:lpstr>
      <vt:lpstr>'Ficha Contrato'!NEdpPpagCtto</vt:lpstr>
      <vt:lpstr>'Ficha Contrato'!NODC</vt:lpstr>
      <vt:lpstr>'Ficha Contrato'!NombCtta</vt:lpstr>
      <vt:lpstr>'Ficha Contrato'!NombCtto</vt:lpstr>
      <vt:lpstr>'Ficha Contrato'!ObsCtto</vt:lpstr>
      <vt:lpstr>'Ficha Contrato'!Reten</vt:lpstr>
      <vt:lpstr>'Ficha Contrato'!RutCtta</vt:lpstr>
      <vt:lpstr>'Ficha Contrato'!seytdghy</vt:lpstr>
      <vt:lpstr>'Ficha Contrato'!Terreno</vt:lpstr>
      <vt:lpstr>'Ficha Contrato'!ValAdicCtto</vt:lpstr>
      <vt:lpstr>'Ficha Contrato'!ValAdjCtto</vt:lpstr>
      <vt:lpstr>'Ficha Contrato'!ValDevRetCtto</vt:lpstr>
      <vt:lpstr>'Ficha Contrato'!ValEdpApCtto</vt:lpstr>
      <vt:lpstr>'Ficha Contrato'!ValRestPpagCtto</vt:lpstr>
      <vt:lpstr>'Ficha Contrato'!ValRetPPagCtto</vt:lpstr>
      <vt:lpstr>'Ficha Contrato'!ValtotApCtto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Claudia Diaz</dc:creator>
  <cp:lastModifiedBy>Michael Leyton</cp:lastModifiedBy>
  <cp:lastPrinted>2017-05-16T16:51:18Z</cp:lastPrinted>
  <dcterms:created xsi:type="dcterms:W3CDTF">2012-02-02T19:02:19Z</dcterms:created>
  <dcterms:modified xsi:type="dcterms:W3CDTF">2017-11-04T19:56:02Z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1633b088-c9aa-4bc1-88ad-e72b2bdaab3b</vt:lpwstr>
  </property>
</Properties>
</file>